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Scores" sheetId="3" state="visible" r:id="rId3"/>
    <sheet xmlns:r="http://schemas.openxmlformats.org/officeDocument/2006/relationships" name="Agre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2E4374"/>
      <sz val="16"/>
    </font>
    <font>
      <name val="Arial"/>
      <color rgb="001A1A2E"/>
      <sz val="10"/>
    </font>
    <font>
      <name val="Arial"/>
      <b val="1"/>
      <color rgb="001A1A2E"/>
      <sz val="12"/>
    </font>
    <font>
      <name val="Arial"/>
      <color rgb="00333333"/>
      <sz val="9.5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i val="1"/>
      <color rgb="001A1A2E"/>
      <sz val="10"/>
    </font>
    <font>
      <name val="Arial"/>
      <color rgb="00555555"/>
      <sz val="9"/>
    </font>
    <font>
      <name val="Arial"/>
      <b val="1"/>
      <color rgb="001A1A2E"/>
      <sz val="10"/>
    </font>
  </fonts>
  <fills count="6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2E4374"/>
      </patternFill>
    </fill>
    <fill>
      <patternFill patternType="solid">
        <fgColor rgb="00EAF1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7" fillId="2" borderId="1" applyAlignment="1" pivotButton="0" quotePrefix="0" xfId="0">
      <alignment horizontal="center"/>
    </xf>
    <xf numFmtId="0" fontId="7" fillId="2" borderId="1" applyAlignment="1" pivotButton="0" quotePrefix="0" xfId="0">
      <alignment vertical="top" wrapText="1"/>
    </xf>
    <xf numFmtId="0" fontId="2" fillId="2" borderId="1" pivotButton="0" quotePrefix="0" xfId="0"/>
    <xf numFmtId="0" fontId="2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left"/>
    </xf>
    <xf numFmtId="0" fontId="2" fillId="2" borderId="1" applyAlignment="1" pivotButton="0" quotePrefix="0" xfId="0">
      <alignment vertical="top" wrapText="1"/>
    </xf>
    <xf numFmtId="0" fontId="9" fillId="0" borderId="0" pivotButton="0" quotePrefix="0" xfId="0"/>
    <xf numFmtId="164" fontId="2" fillId="0" borderId="0" pivotButton="0" quotePrefix="0" xfId="0"/>
    <xf numFmtId="0" fontId="2" fillId="5" borderId="1" pivotButton="0" quotePrefix="0" xfId="0"/>
    <xf numFmtId="2" fontId="2" fillId="5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name val="Arial"/>
        <b val="1"/>
        <color rgb="00B00000"/>
        <sz val="10"/>
      </font>
      <fill>
        <patternFill patternType="solid">
          <fgColor rgb="00FBE3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Solverah</author>
  </authors>
  <commentList>
    <comment ref="D5" authorId="0" shapeId="0">
      <text>
        <t>2 = Series A-B, roughly 20-100 people.</t>
      </text>
    </comment>
    <comment ref="F5" authorId="0" shapeId="0">
      <text>
        <t>comp_vs_market: 1 well below ... 3 at market ... 5 well above, for COMPARABLE roles vs. talent-market peers (same industry/stage/geo). Not dollars.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SOLVERAH - Company Scoring Workbook</t>
        </is>
      </c>
    </row>
    <row r="4">
      <c r="B4" s="2" t="inlineStr">
        <is>
          <t>Companion to Solverah_Company_Rating_Rubric.docx. The rubric tells you HOW to pick a number; this workbook is where the numbers go. Every field maps 1:1 to the database, so what you fill in loads straight into the model.</t>
        </is>
      </c>
    </row>
    <row r="6">
      <c r="B6" s="3" t="inlineStr">
        <is>
          <t>The scale (do not reinterpret)</t>
        </is>
      </c>
    </row>
    <row r="7">
      <c r="B7" s="2" t="inlineStr">
        <is>
          <t>0.0 = the LOW pole, 1.0 = the HIGH pole - identical to the candidate assessment. The model computes gap = person - company on the same axis, so flipping a pole silently inverts every gap on that dimension.</t>
        </is>
      </c>
    </row>
    <row r="9">
      <c r="B9" s="3" t="inlineStr">
        <is>
          <t>How to fill it in</t>
        </is>
      </c>
    </row>
    <row r="10">
      <c r="B10" s="2" t="inlineStr">
        <is>
          <t>1.  Companies tab - add one row per company: stage/size, headcount, comp posture, industry (the confounders), dated. Row 3 is a filled-in EXAMPLE; overwrite it or delete it.</t>
        </is>
      </c>
    </row>
    <row r="11">
      <c r="B11" s="2" t="inlineStr">
        <is>
          <t>2.  Scores tab - 12 rows per company (6 dimensions x 2 raters). Enter score, confidence, and a one-line evidence note for each. The example company is fully scored to show the format; copy the block and change the name.</t>
        </is>
      </c>
    </row>
    <row r="12">
      <c r="B12" s="2" t="inlineStr">
        <is>
          <t>3.  Two raters, blind. Rater A and Rater B score the same company from the same evidence WITHOUT seeing each other's numbers. This is the whole point - one rater can't be validated.</t>
        </is>
      </c>
    </row>
    <row r="13">
      <c r="B13" s="2" t="inlineStr">
        <is>
          <t>4.  Agreement tab - updates automatically. It flags any dimension where the two raters differ by more than 0.15. A flag means the rubric anchor is ambiguous: fix the wording, don't split the difference.</t>
        </is>
      </c>
    </row>
    <row r="15">
      <c r="B15" s="3" t="inlineStr">
        <is>
          <t>Legend</t>
        </is>
      </c>
    </row>
    <row r="16">
      <c r="A16" s="4" t="n"/>
      <c r="B16" s="5" t="inlineStr">
        <is>
          <t xml:space="preserve">   Yellow cells = you type here.    Grey cells = computed, leave alone.    Green row = example, replace it.</t>
        </is>
      </c>
    </row>
    <row r="17">
      <c r="B17" s="3" t="inlineStr">
        <is>
          <t>Field meanings (match the DB)</t>
        </is>
      </c>
    </row>
    <row r="18">
      <c r="B18" s="6" t="inlineStr">
        <is>
          <t xml:space="preserve">     score  -  0-1, three decimals ok. The dimension score from the rubric band.</t>
        </is>
      </c>
    </row>
    <row r="19">
      <c r="B19" s="6" t="inlineStr">
        <is>
          <t xml:space="preserve">     confidence  -  0-1. How sure you are given the evidence. Low confidence -&gt; the model leans on its prior.</t>
        </is>
      </c>
    </row>
    <row r="20">
      <c r="B20" s="6" t="inlineStr">
        <is>
          <t xml:space="preserve">     source  -  researched (you scored from evidence) - scraped (pipeline guessed) - declared (company stated it). Ground-truth set = researched.</t>
        </is>
      </c>
    </row>
    <row r="21">
      <c r="B21" s="6" t="inlineStr">
        <is>
          <t xml:space="preserve">     is_ground_truth  -  TRUE for this calibration set - these are the companies the scraper is measured against.</t>
        </is>
      </c>
    </row>
    <row r="22">
      <c r="B22" s="6" t="inlineStr">
        <is>
          <t xml:space="preserve">     as_of  -  Date of the evidence. Culture drifts; an old read is a wrong read.</t>
        </is>
      </c>
    </row>
    <row r="23">
      <c r="B23" s="6" t="inlineStr">
        <is>
          <t xml:space="preserve">     stage_index  -  1 = pre-seed/seed (&lt;20) - 2 = Series A-B (20-100) - 3 = growth (100-1,000) - 4 = large (1k-10k) - 5 = enterprise (10k+).</t>
        </is>
      </c>
    </row>
    <row r="24">
      <c r="B24" s="6" t="inlineStr">
        <is>
          <t xml:space="preserve">     comp_vs_market  -  Pay POSTURE, not dollars. 1 well below - 2 below - 3 at market - 4 above - 5 well above, vs. talent-market peers (same industry/stage/geo) for COMPARABLE roles. Dollars aren't a company-level property; posture 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1" customWidth="1" min="9" max="9"/>
    <col width="14" customWidth="1" min="10" max="10"/>
    <col width="13" customWidth="1" min="11" max="11"/>
  </cols>
  <sheetData>
    <row r="1">
      <c r="A1" s="7" t="inlineStr">
        <is>
          <t>Companies (roster + confounders)</t>
        </is>
      </c>
    </row>
    <row r="2">
      <c r="A2" s="8" t="inlineStr">
        <is>
          <t>One row per company. Confounders are common causes of culture - record them raw; the model standardizes.</t>
        </is>
      </c>
    </row>
    <row r="4" ht="30" customHeight="1">
      <c r="A4" s="9" t="inlineStr">
        <is>
          <t>company_id</t>
        </is>
      </c>
      <c r="B4" s="9" t="inlineStr">
        <is>
          <t>name</t>
        </is>
      </c>
      <c r="C4" s="9" t="inlineStr">
        <is>
          <t>domain</t>
        </is>
      </c>
      <c r="D4" s="9" t="inlineStr">
        <is>
          <t>stage_index</t>
        </is>
      </c>
      <c r="E4" s="9" t="inlineStr">
        <is>
          <t>headcount</t>
        </is>
      </c>
      <c r="F4" s="9" t="inlineStr">
        <is>
          <t>comp_vs_market</t>
        </is>
      </c>
      <c r="G4" s="9" t="inlineStr">
        <is>
          <t>industry</t>
        </is>
      </c>
      <c r="H4" s="9" t="inlineStr">
        <is>
          <t>source</t>
        </is>
      </c>
      <c r="I4" s="9" t="inlineStr">
        <is>
          <t>confidence</t>
        </is>
      </c>
      <c r="J4" s="9" t="inlineStr">
        <is>
          <t>is_ground_truth</t>
        </is>
      </c>
      <c r="K4" s="9" t="inlineStr">
        <is>
          <t>as_of</t>
        </is>
      </c>
    </row>
    <row r="5">
      <c r="A5" s="10" t="inlineStr">
        <is>
          <t>C001</t>
        </is>
      </c>
      <c r="B5" s="11" t="inlineStr">
        <is>
          <t>Acme Robotics (EXAMPLE)</t>
        </is>
      </c>
      <c r="C5" s="11" t="inlineStr">
        <is>
          <t>acme.ai</t>
        </is>
      </c>
      <c r="D5" s="10" t="n">
        <v>2</v>
      </c>
      <c r="E5" s="10" t="n">
        <v>65</v>
      </c>
      <c r="F5" s="10" t="n">
        <v>4</v>
      </c>
      <c r="G5" s="10" t="inlineStr">
        <is>
          <t>tech</t>
        </is>
      </c>
      <c r="H5" s="10" t="inlineStr">
        <is>
          <t>researched</t>
        </is>
      </c>
      <c r="I5" s="10" t="n">
        <v>0.8</v>
      </c>
      <c r="J5" s="10" t="inlineStr">
        <is>
          <t>TRUE</t>
        </is>
      </c>
      <c r="K5" s="10" t="inlineStr">
        <is>
          <t>2026-07-23</t>
        </is>
      </c>
    </row>
    <row r="6">
      <c r="A6" s="12" t="n"/>
      <c r="B6" s="13" t="n"/>
      <c r="C6" s="13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>
      <c r="A7" s="12" t="n"/>
      <c r="B7" s="13" t="n"/>
      <c r="C7" s="13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2" t="n"/>
      <c r="B8" s="13" t="n"/>
      <c r="C8" s="13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>
      <c r="A9" s="12" t="n"/>
      <c r="B9" s="13" t="n"/>
      <c r="C9" s="13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2" t="n"/>
      <c r="B10" s="13" t="n"/>
      <c r="C10" s="13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2" t="n"/>
      <c r="B11" s="13" t="n"/>
      <c r="C11" s="13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2" t="n"/>
      <c r="B12" s="13" t="n"/>
      <c r="C12" s="13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 t="n"/>
      <c r="B13" s="13" t="n"/>
      <c r="C13" s="13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 t="n"/>
      <c r="B14" s="13" t="n"/>
      <c r="C14" s="13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 t="n"/>
      <c r="B15" s="13" t="n"/>
      <c r="C15" s="13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 t="n"/>
      <c r="B16" s="13" t="n"/>
      <c r="C16" s="13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 t="n"/>
      <c r="B17" s="13" t="n"/>
      <c r="C17" s="13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 t="n"/>
      <c r="B18" s="13" t="n"/>
      <c r="C18" s="13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 t="n"/>
      <c r="B19" s="13" t="n"/>
      <c r="C19" s="13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 t="n"/>
      <c r="B20" s="13" t="n"/>
      <c r="C20" s="13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>
      <c r="A21" s="12" t="n"/>
      <c r="B21" s="13" t="n"/>
      <c r="C21" s="13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>
      <c r="A22" s="12" t="n"/>
      <c r="B22" s="13" t="n"/>
      <c r="C22" s="13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>
      <c r="A23" s="12" t="n"/>
      <c r="B23" s="13" t="n"/>
      <c r="C23" s="13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>
      <c r="A24" s="12" t="n"/>
      <c r="B24" s="13" t="n"/>
      <c r="C24" s="13" t="n"/>
      <c r="D24" s="12" t="n"/>
      <c r="E24" s="12" t="n"/>
      <c r="F24" s="12" t="n"/>
      <c r="G24" s="12" t="n"/>
      <c r="H24" s="12" t="n"/>
      <c r="I24" s="12" t="n"/>
      <c r="J24" s="12" t="n"/>
      <c r="K24" s="12" t="n"/>
    </row>
  </sheetData>
  <mergeCells count="2">
    <mergeCell ref="A1:I1"/>
    <mergeCell ref="A2:I2"/>
  </mergeCells>
  <dataValidations count="6">
    <dataValidation sqref="G5:G24" showDropDown="0" showInputMessage="0" showErrorMessage="0" allowBlank="1" type="list">
      <formula1>"tech,finance,healthcare,retail,other"</formula1>
    </dataValidation>
    <dataValidation sqref="H5:H24" showDropDown="0" showInputMessage="0" showErrorMessage="0" allowBlank="1" type="list">
      <formula1>"scraped,researched,declared"</formula1>
    </dataValidation>
    <dataValidation sqref="J5:J24" showDropDown="0" showInputMessage="0" showErrorMessage="0" allowBlank="1" type="list">
      <formula1>"TRUE,FALSE"</formula1>
    </dataValidation>
    <dataValidation sqref="D5:D24" showDropDown="0" showInputMessage="0" showErrorMessage="0" allowBlank="1" type="whole" operator="between">
      <formula1>1</formula1>
      <formula2>5</formula2>
    </dataValidation>
    <dataValidation sqref="F5:F24" showDropDown="0" showInputMessage="0" showErrorMessage="0" allowBlank="1" promptTitle="comp_vs_market" prompt="1 well below, 2 below, 3 at market, 4 above, 5 well above - vs. talent-market peers for comparable roles." type="whole" operator="between">
      <formula1>1</formula1>
      <formula2>5</formula2>
    </dataValidation>
    <dataValidation sqref="I5:I24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34" customWidth="1" min="3" max="3"/>
    <col width="8" customWidth="1" min="4" max="4"/>
    <col width="9" customWidth="1" min="5" max="5"/>
    <col width="11" customWidth="1" min="6" max="6"/>
    <col width="46" customWidth="1" min="7" max="7"/>
  </cols>
  <sheetData>
    <row r="1">
      <c r="A1" s="7" t="inlineStr">
        <is>
          <t>Scores (long format - 6 dimensions x 2 raters per company)</t>
        </is>
      </c>
    </row>
    <row r="2">
      <c r="A2" s="8" t="inlineStr">
        <is>
          <t>Enter score, confidence, and a one-line evidence note per row. Poles shown for reference; 0 = low pole, 1 = high pole.</t>
        </is>
      </c>
    </row>
    <row r="4" ht="30" customHeight="1">
      <c r="A4" s="9" t="inlineStr">
        <is>
          <t>company_name</t>
        </is>
      </c>
      <c r="B4" s="9" t="inlineStr">
        <is>
          <t>dimension</t>
        </is>
      </c>
      <c r="C4" s="9" t="inlineStr">
        <is>
          <t>pole reference</t>
        </is>
      </c>
      <c r="D4" s="9" t="inlineStr">
        <is>
          <t>rater</t>
        </is>
      </c>
      <c r="E4" s="9" t="inlineStr">
        <is>
          <t>score</t>
        </is>
      </c>
      <c r="F4" s="9" t="inlineStr">
        <is>
          <t>confidence</t>
        </is>
      </c>
      <c r="G4" s="9" t="inlineStr">
        <is>
          <t>evidence_note</t>
        </is>
      </c>
    </row>
    <row r="5">
      <c r="A5" s="11" t="inlineStr">
        <is>
          <t>Acme Robotics (EXAMPLE)</t>
        </is>
      </c>
      <c r="B5" s="10" t="inlineStr">
        <is>
          <t>autonomy</t>
        </is>
      </c>
      <c r="C5" s="10" t="inlineStr">
        <is>
          <t>0 = Directed  -&gt;  1 = Self-directed</t>
        </is>
      </c>
      <c r="D5" s="14" t="inlineStr">
        <is>
          <t>A</t>
        </is>
      </c>
      <c r="E5" s="14" t="n">
        <v>0.75</v>
      </c>
      <c r="F5" s="14" t="n">
        <v>0.8</v>
      </c>
      <c r="G5" s="15" t="inlineStr">
        <is>
          <t>Postings say 'own your domain'; reviews praise low oversight.</t>
        </is>
      </c>
    </row>
    <row r="6">
      <c r="A6" s="11" t="inlineStr">
        <is>
          <t>Acme Robotics (EXAMPLE)</t>
        </is>
      </c>
      <c r="B6" s="10" t="inlineStr">
        <is>
          <t>autonomy</t>
        </is>
      </c>
      <c r="C6" s="10" t="inlineStr">
        <is>
          <t>0 = Directed  -&gt;  1 = Self-directed</t>
        </is>
      </c>
      <c r="D6" s="14" t="inlineStr">
        <is>
          <t>B</t>
        </is>
      </c>
      <c r="E6" s="14" t="n">
        <v>0.7</v>
      </c>
      <c r="F6" s="14" t="n">
        <v>0.7</v>
      </c>
      <c r="G6" s="15" t="inlineStr">
        <is>
          <t>Ownership language strong; a few mentions of founder sign-off.</t>
        </is>
      </c>
    </row>
    <row r="7">
      <c r="A7" s="11" t="inlineStr">
        <is>
          <t>Acme Robotics (EXAMPLE)</t>
        </is>
      </c>
      <c r="B7" s="10" t="inlineStr">
        <is>
          <t>pace</t>
        </is>
      </c>
      <c r="C7" s="10" t="inlineStr">
        <is>
          <t>0 = Steady  -&gt;  1 = Fast</t>
        </is>
      </c>
      <c r="D7" s="14" t="inlineStr">
        <is>
          <t>A</t>
        </is>
      </c>
      <c r="E7" s="14" t="n">
        <v>0.85</v>
      </c>
      <c r="F7" s="14" t="n">
        <v>0.9</v>
      </c>
      <c r="G7" s="15" t="inlineStr">
        <is>
          <t>Weekly ships; multiple reviews cite long hours, hypergrowth.</t>
        </is>
      </c>
    </row>
    <row r="8">
      <c r="A8" s="11" t="inlineStr">
        <is>
          <t>Acme Robotics (EXAMPLE)</t>
        </is>
      </c>
      <c r="B8" s="10" t="inlineStr">
        <is>
          <t>pace</t>
        </is>
      </c>
      <c r="C8" s="10" t="inlineStr">
        <is>
          <t>0 = Steady  -&gt;  1 = Fast</t>
        </is>
      </c>
      <c r="D8" s="14" t="inlineStr">
        <is>
          <t>B</t>
        </is>
      </c>
      <c r="E8" s="14" t="n">
        <v>0.8</v>
      </c>
      <c r="F8" s="14" t="n">
        <v>0.8</v>
      </c>
      <c r="G8" s="15" t="inlineStr">
        <is>
          <t>Clearly fast; some reviews note it's stabilizing post-Series-B.</t>
        </is>
      </c>
    </row>
    <row r="9">
      <c r="A9" s="11" t="inlineStr">
        <is>
          <t>Acme Robotics (EXAMPLE)</t>
        </is>
      </c>
      <c r="B9" s="10" t="inlineStr">
        <is>
          <t>collaboration</t>
        </is>
      </c>
      <c r="C9" s="10" t="inlineStr">
        <is>
          <t>0 = Solo  -&gt;  1 = Collective</t>
        </is>
      </c>
      <c r="D9" s="14" t="inlineStr">
        <is>
          <t>A</t>
        </is>
      </c>
      <c r="E9" s="14" t="n">
        <v>0.6</v>
      </c>
      <c r="F9" s="14" t="n">
        <v>0.6</v>
      </c>
      <c r="G9" s="15" t="inlineStr">
        <is>
          <t>Cross-functional pods, but ICs own areas end-to-end.</t>
        </is>
      </c>
    </row>
    <row r="10">
      <c r="A10" s="11" t="inlineStr">
        <is>
          <t>Acme Robotics (EXAMPLE)</t>
        </is>
      </c>
      <c r="B10" s="10" t="inlineStr">
        <is>
          <t>collaboration</t>
        </is>
      </c>
      <c r="C10" s="10" t="inlineStr">
        <is>
          <t>0 = Solo  -&gt;  1 = Collective</t>
        </is>
      </c>
      <c r="D10" s="14" t="inlineStr">
        <is>
          <t>B</t>
        </is>
      </c>
      <c r="E10" s="14" t="n">
        <v>0.55</v>
      </c>
      <c r="F10" s="14" t="n">
        <v>0.5</v>
      </c>
      <c r="G10" s="15" t="inlineStr">
        <is>
          <t>Mixed signals; standups daily, deep work protected.</t>
        </is>
      </c>
    </row>
    <row r="11">
      <c r="A11" s="11" t="inlineStr">
        <is>
          <t>Acme Robotics (EXAMPLE)</t>
        </is>
      </c>
      <c r="B11" s="10" t="inlineStr">
        <is>
          <t>feedback</t>
        </is>
      </c>
      <c r="C11" s="10" t="inlineStr">
        <is>
          <t>0 = Sparse/gentle  -&gt;  1 = Frequent/blunt</t>
        </is>
      </c>
      <c r="D11" s="14" t="inlineStr">
        <is>
          <t>A</t>
        </is>
      </c>
      <c r="E11" s="14" t="n">
        <v>0.7</v>
      </c>
      <c r="F11" s="14" t="n">
        <v>0.7</v>
      </c>
      <c r="G11" s="15" t="inlineStr">
        <is>
          <t>'Direct communication' a stated value; blunt-but-kind reviews.</t>
        </is>
      </c>
    </row>
    <row r="12">
      <c r="A12" s="11" t="inlineStr">
        <is>
          <t>Acme Robotics (EXAMPLE)</t>
        </is>
      </c>
      <c r="B12" s="10" t="inlineStr">
        <is>
          <t>feedback</t>
        </is>
      </c>
      <c r="C12" s="10" t="inlineStr">
        <is>
          <t>0 = Sparse/gentle  -&gt;  1 = Frequent/blunt</t>
        </is>
      </c>
      <c r="D12" s="14" t="inlineStr">
        <is>
          <t>B</t>
        </is>
      </c>
      <c r="E12" s="14" t="n">
        <v>0.65</v>
      </c>
      <c r="F12" s="14" t="n">
        <v>0.6</v>
      </c>
      <c r="G12" s="15" t="inlineStr">
        <is>
          <t>Fairly direct; not radical-candor level.</t>
        </is>
      </c>
    </row>
    <row r="13">
      <c r="A13" s="11" t="inlineStr">
        <is>
          <t>Acme Robotics (EXAMPLE)</t>
        </is>
      </c>
      <c r="B13" s="10" t="inlineStr">
        <is>
          <t>innovation</t>
        </is>
      </c>
      <c r="C13" s="10" t="inlineStr">
        <is>
          <t>0 = Execute/optimize  -&gt;  1 = Invent/explore</t>
        </is>
      </c>
      <c r="D13" s="14" t="inlineStr">
        <is>
          <t>A</t>
        </is>
      </c>
      <c r="E13" s="14" t="n">
        <v>0.8</v>
      </c>
      <c r="F13" s="14" t="n">
        <v>0.8</v>
      </c>
      <c r="G13" s="15" t="inlineStr">
        <is>
          <t>0-to-1 robotics R&amp;D; patents; explicit failed-bet tolerance.</t>
        </is>
      </c>
    </row>
    <row r="14">
      <c r="A14" s="11" t="inlineStr">
        <is>
          <t>Acme Robotics (EXAMPLE)</t>
        </is>
      </c>
      <c r="B14" s="10" t="inlineStr">
        <is>
          <t>innovation</t>
        </is>
      </c>
      <c r="C14" s="10" t="inlineStr">
        <is>
          <t>0 = Execute/optimize  -&gt;  1 = Invent/explore</t>
        </is>
      </c>
      <c r="D14" s="14" t="inlineStr">
        <is>
          <t>B</t>
        </is>
      </c>
      <c r="E14" s="14" t="n">
        <v>0.85</v>
      </c>
      <c r="F14" s="14" t="n">
        <v>0.8</v>
      </c>
      <c r="G14" s="15" t="inlineStr">
        <is>
          <t>Core work is inventing new capability, not optimizing.</t>
        </is>
      </c>
    </row>
    <row r="15">
      <c r="A15" s="11" t="inlineStr">
        <is>
          <t>Acme Robotics (EXAMPLE)</t>
        </is>
      </c>
      <c r="B15" s="10" t="inlineStr">
        <is>
          <t>decision</t>
        </is>
      </c>
      <c r="C15" s="10" t="inlineStr">
        <is>
          <t>0 = Intuition/judgement  -&gt;  1 = Data/analysis</t>
        </is>
      </c>
      <c r="D15" s="14" t="inlineStr">
        <is>
          <t>A</t>
        </is>
      </c>
      <c r="E15" s="14" t="n">
        <v>0.45</v>
      </c>
      <c r="F15" s="14" t="n">
        <v>0.5</v>
      </c>
      <c r="G15" s="15" t="inlineStr">
        <is>
          <t>Founder-vision led; data used to confirm, not decide.</t>
        </is>
      </c>
    </row>
    <row r="16">
      <c r="A16" s="11" t="inlineStr">
        <is>
          <t>Acme Robotics (EXAMPLE)</t>
        </is>
      </c>
      <c r="B16" s="10" t="inlineStr">
        <is>
          <t>decision</t>
        </is>
      </c>
      <c r="C16" s="10" t="inlineStr">
        <is>
          <t>0 = Intuition/judgement  -&gt;  1 = Data/analysis</t>
        </is>
      </c>
      <c r="D16" s="14" t="inlineStr">
        <is>
          <t>B</t>
        </is>
      </c>
      <c r="E16" s="14" t="n">
        <v>0.4</v>
      </c>
      <c r="F16" s="14" t="n">
        <v>0.5</v>
      </c>
      <c r="G16" s="15" t="inlineStr">
        <is>
          <t>Leans intuition; analytics team small.</t>
        </is>
      </c>
    </row>
    <row r="17">
      <c r="A17" s="16" t="n"/>
      <c r="B17" s="17" t="inlineStr">
        <is>
          <t>autonomy</t>
        </is>
      </c>
      <c r="C17" s="18" t="inlineStr">
        <is>
          <t>0 = Directed  -&gt;  1 = Self-directed</t>
        </is>
      </c>
      <c r="D17" s="17" t="inlineStr">
        <is>
          <t>A</t>
        </is>
      </c>
      <c r="E17" s="12" t="n"/>
      <c r="F17" s="12" t="n"/>
      <c r="G17" s="19" t="n"/>
    </row>
    <row r="18">
      <c r="A18" s="16" t="n"/>
      <c r="B18" s="17" t="inlineStr">
        <is>
          <t>autonomy</t>
        </is>
      </c>
      <c r="C18" s="18" t="inlineStr">
        <is>
          <t>0 = Directed  -&gt;  1 = Self-directed</t>
        </is>
      </c>
      <c r="D18" s="17" t="inlineStr">
        <is>
          <t>B</t>
        </is>
      </c>
      <c r="E18" s="12" t="n"/>
      <c r="F18" s="12" t="n"/>
      <c r="G18" s="19" t="n"/>
    </row>
    <row r="19">
      <c r="A19" s="16" t="n"/>
      <c r="B19" s="17" t="inlineStr">
        <is>
          <t>pace</t>
        </is>
      </c>
      <c r="C19" s="18" t="inlineStr">
        <is>
          <t>0 = Steady  -&gt;  1 = Fast</t>
        </is>
      </c>
      <c r="D19" s="17" t="inlineStr">
        <is>
          <t>A</t>
        </is>
      </c>
      <c r="E19" s="12" t="n"/>
      <c r="F19" s="12" t="n"/>
      <c r="G19" s="19" t="n"/>
    </row>
    <row r="20">
      <c r="A20" s="16" t="n"/>
      <c r="B20" s="17" t="inlineStr">
        <is>
          <t>pace</t>
        </is>
      </c>
      <c r="C20" s="18" t="inlineStr">
        <is>
          <t>0 = Steady  -&gt;  1 = Fast</t>
        </is>
      </c>
      <c r="D20" s="17" t="inlineStr">
        <is>
          <t>B</t>
        </is>
      </c>
      <c r="E20" s="12" t="n"/>
      <c r="F20" s="12" t="n"/>
      <c r="G20" s="19" t="n"/>
    </row>
    <row r="21">
      <c r="A21" s="16" t="n"/>
      <c r="B21" s="17" t="inlineStr">
        <is>
          <t>collaboration</t>
        </is>
      </c>
      <c r="C21" s="18" t="inlineStr">
        <is>
          <t>0 = Solo  -&gt;  1 = Collective</t>
        </is>
      </c>
      <c r="D21" s="17" t="inlineStr">
        <is>
          <t>A</t>
        </is>
      </c>
      <c r="E21" s="12" t="n"/>
      <c r="F21" s="12" t="n"/>
      <c r="G21" s="19" t="n"/>
    </row>
    <row r="22">
      <c r="A22" s="16" t="n"/>
      <c r="B22" s="17" t="inlineStr">
        <is>
          <t>collaboration</t>
        </is>
      </c>
      <c r="C22" s="18" t="inlineStr">
        <is>
          <t>0 = Solo  -&gt;  1 = Collective</t>
        </is>
      </c>
      <c r="D22" s="17" t="inlineStr">
        <is>
          <t>B</t>
        </is>
      </c>
      <c r="E22" s="12" t="n"/>
      <c r="F22" s="12" t="n"/>
      <c r="G22" s="19" t="n"/>
    </row>
    <row r="23">
      <c r="A23" s="16" t="n"/>
      <c r="B23" s="17" t="inlineStr">
        <is>
          <t>feedback</t>
        </is>
      </c>
      <c r="C23" s="18" t="inlineStr">
        <is>
          <t>0 = Sparse/gentle  -&gt;  1 = Frequent/blunt</t>
        </is>
      </c>
      <c r="D23" s="17" t="inlineStr">
        <is>
          <t>A</t>
        </is>
      </c>
      <c r="E23" s="12" t="n"/>
      <c r="F23" s="12" t="n"/>
      <c r="G23" s="19" t="n"/>
    </row>
    <row r="24">
      <c r="A24" s="16" t="n"/>
      <c r="B24" s="17" t="inlineStr">
        <is>
          <t>feedback</t>
        </is>
      </c>
      <c r="C24" s="18" t="inlineStr">
        <is>
          <t>0 = Sparse/gentle  -&gt;  1 = Frequent/blunt</t>
        </is>
      </c>
      <c r="D24" s="17" t="inlineStr">
        <is>
          <t>B</t>
        </is>
      </c>
      <c r="E24" s="12" t="n"/>
      <c r="F24" s="12" t="n"/>
      <c r="G24" s="19" t="n"/>
    </row>
    <row r="25">
      <c r="A25" s="16" t="n"/>
      <c r="B25" s="17" t="inlineStr">
        <is>
          <t>innovation</t>
        </is>
      </c>
      <c r="C25" s="18" t="inlineStr">
        <is>
          <t>0 = Execute/optimize  -&gt;  1 = Invent/explore</t>
        </is>
      </c>
      <c r="D25" s="17" t="inlineStr">
        <is>
          <t>A</t>
        </is>
      </c>
      <c r="E25" s="12" t="n"/>
      <c r="F25" s="12" t="n"/>
      <c r="G25" s="19" t="n"/>
    </row>
    <row r="26">
      <c r="A26" s="16" t="n"/>
      <c r="B26" s="17" t="inlineStr">
        <is>
          <t>innovation</t>
        </is>
      </c>
      <c r="C26" s="18" t="inlineStr">
        <is>
          <t>0 = Execute/optimize  -&gt;  1 = Invent/explore</t>
        </is>
      </c>
      <c r="D26" s="17" t="inlineStr">
        <is>
          <t>B</t>
        </is>
      </c>
      <c r="E26" s="12" t="n"/>
      <c r="F26" s="12" t="n"/>
      <c r="G26" s="19" t="n"/>
    </row>
    <row r="27">
      <c r="A27" s="16" t="n"/>
      <c r="B27" s="17" t="inlineStr">
        <is>
          <t>decision</t>
        </is>
      </c>
      <c r="C27" s="18" t="inlineStr">
        <is>
          <t>0 = Intuition/judgement  -&gt;  1 = Data/analysis</t>
        </is>
      </c>
      <c r="D27" s="17" t="inlineStr">
        <is>
          <t>A</t>
        </is>
      </c>
      <c r="E27" s="12" t="n"/>
      <c r="F27" s="12" t="n"/>
      <c r="G27" s="19" t="n"/>
    </row>
    <row r="28">
      <c r="A28" s="16" t="n"/>
      <c r="B28" s="17" t="inlineStr">
        <is>
          <t>decision</t>
        </is>
      </c>
      <c r="C28" s="18" t="inlineStr">
        <is>
          <t>0 = Intuition/judgement  -&gt;  1 = Data/analysis</t>
        </is>
      </c>
      <c r="D28" s="17" t="inlineStr">
        <is>
          <t>B</t>
        </is>
      </c>
      <c r="E28" s="12" t="n"/>
      <c r="F28" s="12" t="n"/>
      <c r="G28" s="19" t="n"/>
    </row>
    <row r="29">
      <c r="A29" s="16" t="n"/>
      <c r="B29" s="17" t="inlineStr">
        <is>
          <t>autonomy</t>
        </is>
      </c>
      <c r="C29" s="18" t="inlineStr">
        <is>
          <t>0 = Directed  -&gt;  1 = Self-directed</t>
        </is>
      </c>
      <c r="D29" s="17" t="inlineStr">
        <is>
          <t>A</t>
        </is>
      </c>
      <c r="E29" s="12" t="n"/>
      <c r="F29" s="12" t="n"/>
      <c r="G29" s="19" t="n"/>
    </row>
    <row r="30">
      <c r="A30" s="16" t="n"/>
      <c r="B30" s="17" t="inlineStr">
        <is>
          <t>autonomy</t>
        </is>
      </c>
      <c r="C30" s="18" t="inlineStr">
        <is>
          <t>0 = Directed  -&gt;  1 = Self-directed</t>
        </is>
      </c>
      <c r="D30" s="17" t="inlineStr">
        <is>
          <t>B</t>
        </is>
      </c>
      <c r="E30" s="12" t="n"/>
      <c r="F30" s="12" t="n"/>
      <c r="G30" s="19" t="n"/>
    </row>
    <row r="31">
      <c r="A31" s="16" t="n"/>
      <c r="B31" s="17" t="inlineStr">
        <is>
          <t>pace</t>
        </is>
      </c>
      <c r="C31" s="18" t="inlineStr">
        <is>
          <t>0 = Steady  -&gt;  1 = Fast</t>
        </is>
      </c>
      <c r="D31" s="17" t="inlineStr">
        <is>
          <t>A</t>
        </is>
      </c>
      <c r="E31" s="12" t="n"/>
      <c r="F31" s="12" t="n"/>
      <c r="G31" s="19" t="n"/>
    </row>
    <row r="32">
      <c r="A32" s="16" t="n"/>
      <c r="B32" s="17" t="inlineStr">
        <is>
          <t>pace</t>
        </is>
      </c>
      <c r="C32" s="18" t="inlineStr">
        <is>
          <t>0 = Steady  -&gt;  1 = Fast</t>
        </is>
      </c>
      <c r="D32" s="17" t="inlineStr">
        <is>
          <t>B</t>
        </is>
      </c>
      <c r="E32" s="12" t="n"/>
      <c r="F32" s="12" t="n"/>
      <c r="G32" s="19" t="n"/>
    </row>
    <row r="33">
      <c r="A33" s="16" t="n"/>
      <c r="B33" s="17" t="inlineStr">
        <is>
          <t>collaboration</t>
        </is>
      </c>
      <c r="C33" s="18" t="inlineStr">
        <is>
          <t>0 = Solo  -&gt;  1 = Collective</t>
        </is>
      </c>
      <c r="D33" s="17" t="inlineStr">
        <is>
          <t>A</t>
        </is>
      </c>
      <c r="E33" s="12" t="n"/>
      <c r="F33" s="12" t="n"/>
      <c r="G33" s="19" t="n"/>
    </row>
    <row r="34">
      <c r="A34" s="16" t="n"/>
      <c r="B34" s="17" t="inlineStr">
        <is>
          <t>collaboration</t>
        </is>
      </c>
      <c r="C34" s="18" t="inlineStr">
        <is>
          <t>0 = Solo  -&gt;  1 = Collective</t>
        </is>
      </c>
      <c r="D34" s="17" t="inlineStr">
        <is>
          <t>B</t>
        </is>
      </c>
      <c r="E34" s="12" t="n"/>
      <c r="F34" s="12" t="n"/>
      <c r="G34" s="19" t="n"/>
    </row>
    <row r="35">
      <c r="A35" s="16" t="n"/>
      <c r="B35" s="17" t="inlineStr">
        <is>
          <t>feedback</t>
        </is>
      </c>
      <c r="C35" s="18" t="inlineStr">
        <is>
          <t>0 = Sparse/gentle  -&gt;  1 = Frequent/blunt</t>
        </is>
      </c>
      <c r="D35" s="17" t="inlineStr">
        <is>
          <t>A</t>
        </is>
      </c>
      <c r="E35" s="12" t="n"/>
      <c r="F35" s="12" t="n"/>
      <c r="G35" s="19" t="n"/>
    </row>
    <row r="36">
      <c r="A36" s="16" t="n"/>
      <c r="B36" s="17" t="inlineStr">
        <is>
          <t>feedback</t>
        </is>
      </c>
      <c r="C36" s="18" t="inlineStr">
        <is>
          <t>0 = Sparse/gentle  -&gt;  1 = Frequent/blunt</t>
        </is>
      </c>
      <c r="D36" s="17" t="inlineStr">
        <is>
          <t>B</t>
        </is>
      </c>
      <c r="E36" s="12" t="n"/>
      <c r="F36" s="12" t="n"/>
      <c r="G36" s="19" t="n"/>
    </row>
    <row r="37">
      <c r="A37" s="16" t="n"/>
      <c r="B37" s="17" t="inlineStr">
        <is>
          <t>innovation</t>
        </is>
      </c>
      <c r="C37" s="18" t="inlineStr">
        <is>
          <t>0 = Execute/optimize  -&gt;  1 = Invent/explore</t>
        </is>
      </c>
      <c r="D37" s="17" t="inlineStr">
        <is>
          <t>A</t>
        </is>
      </c>
      <c r="E37" s="12" t="n"/>
      <c r="F37" s="12" t="n"/>
      <c r="G37" s="19" t="n"/>
    </row>
    <row r="38">
      <c r="A38" s="16" t="n"/>
      <c r="B38" s="17" t="inlineStr">
        <is>
          <t>innovation</t>
        </is>
      </c>
      <c r="C38" s="18" t="inlineStr">
        <is>
          <t>0 = Execute/optimize  -&gt;  1 = Invent/explore</t>
        </is>
      </c>
      <c r="D38" s="17" t="inlineStr">
        <is>
          <t>B</t>
        </is>
      </c>
      <c r="E38" s="12" t="n"/>
      <c r="F38" s="12" t="n"/>
      <c r="G38" s="19" t="n"/>
    </row>
    <row r="39">
      <c r="A39" s="16" t="n"/>
      <c r="B39" s="17" t="inlineStr">
        <is>
          <t>decision</t>
        </is>
      </c>
      <c r="C39" s="18" t="inlineStr">
        <is>
          <t>0 = Intuition/judgement  -&gt;  1 = Data/analysis</t>
        </is>
      </c>
      <c r="D39" s="17" t="inlineStr">
        <is>
          <t>A</t>
        </is>
      </c>
      <c r="E39" s="12" t="n"/>
      <c r="F39" s="12" t="n"/>
      <c r="G39" s="19" t="n"/>
    </row>
    <row r="40">
      <c r="A40" s="16" t="n"/>
      <c r="B40" s="17" t="inlineStr">
        <is>
          <t>decision</t>
        </is>
      </c>
      <c r="C40" s="18" t="inlineStr">
        <is>
          <t>0 = Intuition/judgement  -&gt;  1 = Data/analysis</t>
        </is>
      </c>
      <c r="D40" s="17" t="inlineStr">
        <is>
          <t>B</t>
        </is>
      </c>
      <c r="E40" s="12" t="n"/>
      <c r="F40" s="12" t="n"/>
      <c r="G40" s="19" t="n"/>
    </row>
    <row r="41">
      <c r="A41" s="16" t="n"/>
      <c r="B41" s="17" t="inlineStr">
        <is>
          <t>autonomy</t>
        </is>
      </c>
      <c r="C41" s="18" t="inlineStr">
        <is>
          <t>0 = Directed  -&gt;  1 = Self-directed</t>
        </is>
      </c>
      <c r="D41" s="17" t="inlineStr">
        <is>
          <t>A</t>
        </is>
      </c>
      <c r="E41" s="12" t="n"/>
      <c r="F41" s="12" t="n"/>
      <c r="G41" s="19" t="n"/>
    </row>
    <row r="42">
      <c r="A42" s="16" t="n"/>
      <c r="B42" s="17" t="inlineStr">
        <is>
          <t>autonomy</t>
        </is>
      </c>
      <c r="C42" s="18" t="inlineStr">
        <is>
          <t>0 = Directed  -&gt;  1 = Self-directed</t>
        </is>
      </c>
      <c r="D42" s="17" t="inlineStr">
        <is>
          <t>B</t>
        </is>
      </c>
      <c r="E42" s="12" t="n"/>
      <c r="F42" s="12" t="n"/>
      <c r="G42" s="19" t="n"/>
    </row>
    <row r="43">
      <c r="A43" s="16" t="n"/>
      <c r="B43" s="17" t="inlineStr">
        <is>
          <t>pace</t>
        </is>
      </c>
      <c r="C43" s="18" t="inlineStr">
        <is>
          <t>0 = Steady  -&gt;  1 = Fast</t>
        </is>
      </c>
      <c r="D43" s="17" t="inlineStr">
        <is>
          <t>A</t>
        </is>
      </c>
      <c r="E43" s="12" t="n"/>
      <c r="F43" s="12" t="n"/>
      <c r="G43" s="19" t="n"/>
    </row>
    <row r="44">
      <c r="A44" s="16" t="n"/>
      <c r="B44" s="17" t="inlineStr">
        <is>
          <t>pace</t>
        </is>
      </c>
      <c r="C44" s="18" t="inlineStr">
        <is>
          <t>0 = Steady  -&gt;  1 = Fast</t>
        </is>
      </c>
      <c r="D44" s="17" t="inlineStr">
        <is>
          <t>B</t>
        </is>
      </c>
      <c r="E44" s="12" t="n"/>
      <c r="F44" s="12" t="n"/>
      <c r="G44" s="19" t="n"/>
    </row>
    <row r="45">
      <c r="A45" s="16" t="n"/>
      <c r="B45" s="17" t="inlineStr">
        <is>
          <t>collaboration</t>
        </is>
      </c>
      <c r="C45" s="18" t="inlineStr">
        <is>
          <t>0 = Solo  -&gt;  1 = Collective</t>
        </is>
      </c>
      <c r="D45" s="17" t="inlineStr">
        <is>
          <t>A</t>
        </is>
      </c>
      <c r="E45" s="12" t="n"/>
      <c r="F45" s="12" t="n"/>
      <c r="G45" s="19" t="n"/>
    </row>
    <row r="46">
      <c r="A46" s="16" t="n"/>
      <c r="B46" s="17" t="inlineStr">
        <is>
          <t>collaboration</t>
        </is>
      </c>
      <c r="C46" s="18" t="inlineStr">
        <is>
          <t>0 = Solo  -&gt;  1 = Collective</t>
        </is>
      </c>
      <c r="D46" s="17" t="inlineStr">
        <is>
          <t>B</t>
        </is>
      </c>
      <c r="E46" s="12" t="n"/>
      <c r="F46" s="12" t="n"/>
      <c r="G46" s="19" t="n"/>
    </row>
    <row r="47">
      <c r="A47" s="16" t="n"/>
      <c r="B47" s="17" t="inlineStr">
        <is>
          <t>feedback</t>
        </is>
      </c>
      <c r="C47" s="18" t="inlineStr">
        <is>
          <t>0 = Sparse/gentle  -&gt;  1 = Frequent/blunt</t>
        </is>
      </c>
      <c r="D47" s="17" t="inlineStr">
        <is>
          <t>A</t>
        </is>
      </c>
      <c r="E47" s="12" t="n"/>
      <c r="F47" s="12" t="n"/>
      <c r="G47" s="19" t="n"/>
    </row>
    <row r="48">
      <c r="A48" s="16" t="n"/>
      <c r="B48" s="17" t="inlineStr">
        <is>
          <t>feedback</t>
        </is>
      </c>
      <c r="C48" s="18" t="inlineStr">
        <is>
          <t>0 = Sparse/gentle  -&gt;  1 = Frequent/blunt</t>
        </is>
      </c>
      <c r="D48" s="17" t="inlineStr">
        <is>
          <t>B</t>
        </is>
      </c>
      <c r="E48" s="12" t="n"/>
      <c r="F48" s="12" t="n"/>
      <c r="G48" s="19" t="n"/>
    </row>
    <row r="49">
      <c r="A49" s="16" t="n"/>
      <c r="B49" s="17" t="inlineStr">
        <is>
          <t>innovation</t>
        </is>
      </c>
      <c r="C49" s="18" t="inlineStr">
        <is>
          <t>0 = Execute/optimize  -&gt;  1 = Invent/explore</t>
        </is>
      </c>
      <c r="D49" s="17" t="inlineStr">
        <is>
          <t>A</t>
        </is>
      </c>
      <c r="E49" s="12" t="n"/>
      <c r="F49" s="12" t="n"/>
      <c r="G49" s="19" t="n"/>
    </row>
    <row r="50">
      <c r="A50" s="16" t="n"/>
      <c r="B50" s="17" t="inlineStr">
        <is>
          <t>innovation</t>
        </is>
      </c>
      <c r="C50" s="18" t="inlineStr">
        <is>
          <t>0 = Execute/optimize  -&gt;  1 = Invent/explore</t>
        </is>
      </c>
      <c r="D50" s="17" t="inlineStr">
        <is>
          <t>B</t>
        </is>
      </c>
      <c r="E50" s="12" t="n"/>
      <c r="F50" s="12" t="n"/>
      <c r="G50" s="19" t="n"/>
    </row>
    <row r="51">
      <c r="A51" s="16" t="n"/>
      <c r="B51" s="17" t="inlineStr">
        <is>
          <t>decision</t>
        </is>
      </c>
      <c r="C51" s="18" t="inlineStr">
        <is>
          <t>0 = Intuition/judgement  -&gt;  1 = Data/analysis</t>
        </is>
      </c>
      <c r="D51" s="17" t="inlineStr">
        <is>
          <t>A</t>
        </is>
      </c>
      <c r="E51" s="12" t="n"/>
      <c r="F51" s="12" t="n"/>
      <c r="G51" s="19" t="n"/>
    </row>
    <row r="52">
      <c r="A52" s="16" t="n"/>
      <c r="B52" s="17" t="inlineStr">
        <is>
          <t>decision</t>
        </is>
      </c>
      <c r="C52" s="18" t="inlineStr">
        <is>
          <t>0 = Intuition/judgement  -&gt;  1 = Data/analysis</t>
        </is>
      </c>
      <c r="D52" s="17" t="inlineStr">
        <is>
          <t>B</t>
        </is>
      </c>
      <c r="E52" s="12" t="n"/>
      <c r="F52" s="12" t="n"/>
      <c r="G52" s="19" t="n"/>
    </row>
    <row r="53">
      <c r="A53" s="16" t="n"/>
      <c r="B53" s="17" t="inlineStr">
        <is>
          <t>autonomy</t>
        </is>
      </c>
      <c r="C53" s="18" t="inlineStr">
        <is>
          <t>0 = Directed  -&gt;  1 = Self-directed</t>
        </is>
      </c>
      <c r="D53" s="17" t="inlineStr">
        <is>
          <t>A</t>
        </is>
      </c>
      <c r="E53" s="12" t="n"/>
      <c r="F53" s="12" t="n"/>
      <c r="G53" s="19" t="n"/>
    </row>
    <row r="54">
      <c r="A54" s="16" t="n"/>
      <c r="B54" s="17" t="inlineStr">
        <is>
          <t>autonomy</t>
        </is>
      </c>
      <c r="C54" s="18" t="inlineStr">
        <is>
          <t>0 = Directed  -&gt;  1 = Self-directed</t>
        </is>
      </c>
      <c r="D54" s="17" t="inlineStr">
        <is>
          <t>B</t>
        </is>
      </c>
      <c r="E54" s="12" t="n"/>
      <c r="F54" s="12" t="n"/>
      <c r="G54" s="19" t="n"/>
    </row>
    <row r="55">
      <c r="A55" s="16" t="n"/>
      <c r="B55" s="17" t="inlineStr">
        <is>
          <t>pace</t>
        </is>
      </c>
      <c r="C55" s="18" t="inlineStr">
        <is>
          <t>0 = Steady  -&gt;  1 = Fast</t>
        </is>
      </c>
      <c r="D55" s="17" t="inlineStr">
        <is>
          <t>A</t>
        </is>
      </c>
      <c r="E55" s="12" t="n"/>
      <c r="F55" s="12" t="n"/>
      <c r="G55" s="19" t="n"/>
    </row>
    <row r="56">
      <c r="A56" s="16" t="n"/>
      <c r="B56" s="17" t="inlineStr">
        <is>
          <t>pace</t>
        </is>
      </c>
      <c r="C56" s="18" t="inlineStr">
        <is>
          <t>0 = Steady  -&gt;  1 = Fast</t>
        </is>
      </c>
      <c r="D56" s="17" t="inlineStr">
        <is>
          <t>B</t>
        </is>
      </c>
      <c r="E56" s="12" t="n"/>
      <c r="F56" s="12" t="n"/>
      <c r="G56" s="19" t="n"/>
    </row>
    <row r="57">
      <c r="A57" s="16" t="n"/>
      <c r="B57" s="17" t="inlineStr">
        <is>
          <t>collaboration</t>
        </is>
      </c>
      <c r="C57" s="18" t="inlineStr">
        <is>
          <t>0 = Solo  -&gt;  1 = Collective</t>
        </is>
      </c>
      <c r="D57" s="17" t="inlineStr">
        <is>
          <t>A</t>
        </is>
      </c>
      <c r="E57" s="12" t="n"/>
      <c r="F57" s="12" t="n"/>
      <c r="G57" s="19" t="n"/>
    </row>
    <row r="58">
      <c r="A58" s="16" t="n"/>
      <c r="B58" s="17" t="inlineStr">
        <is>
          <t>collaboration</t>
        </is>
      </c>
      <c r="C58" s="18" t="inlineStr">
        <is>
          <t>0 = Solo  -&gt;  1 = Collective</t>
        </is>
      </c>
      <c r="D58" s="17" t="inlineStr">
        <is>
          <t>B</t>
        </is>
      </c>
      <c r="E58" s="12" t="n"/>
      <c r="F58" s="12" t="n"/>
      <c r="G58" s="19" t="n"/>
    </row>
    <row r="59">
      <c r="A59" s="16" t="n"/>
      <c r="B59" s="17" t="inlineStr">
        <is>
          <t>feedback</t>
        </is>
      </c>
      <c r="C59" s="18" t="inlineStr">
        <is>
          <t>0 = Sparse/gentle  -&gt;  1 = Frequent/blunt</t>
        </is>
      </c>
      <c r="D59" s="17" t="inlineStr">
        <is>
          <t>A</t>
        </is>
      </c>
      <c r="E59" s="12" t="n"/>
      <c r="F59" s="12" t="n"/>
      <c r="G59" s="19" t="n"/>
    </row>
    <row r="60">
      <c r="A60" s="16" t="n"/>
      <c r="B60" s="17" t="inlineStr">
        <is>
          <t>feedback</t>
        </is>
      </c>
      <c r="C60" s="18" t="inlineStr">
        <is>
          <t>0 = Sparse/gentle  -&gt;  1 = Frequent/blunt</t>
        </is>
      </c>
      <c r="D60" s="17" t="inlineStr">
        <is>
          <t>B</t>
        </is>
      </c>
      <c r="E60" s="12" t="n"/>
      <c r="F60" s="12" t="n"/>
      <c r="G60" s="19" t="n"/>
    </row>
    <row r="61">
      <c r="A61" s="16" t="n"/>
      <c r="B61" s="17" t="inlineStr">
        <is>
          <t>innovation</t>
        </is>
      </c>
      <c r="C61" s="18" t="inlineStr">
        <is>
          <t>0 = Execute/optimize  -&gt;  1 = Invent/explore</t>
        </is>
      </c>
      <c r="D61" s="17" t="inlineStr">
        <is>
          <t>A</t>
        </is>
      </c>
      <c r="E61" s="12" t="n"/>
      <c r="F61" s="12" t="n"/>
      <c r="G61" s="19" t="n"/>
    </row>
    <row r="62">
      <c r="A62" s="16" t="n"/>
      <c r="B62" s="17" t="inlineStr">
        <is>
          <t>innovation</t>
        </is>
      </c>
      <c r="C62" s="18" t="inlineStr">
        <is>
          <t>0 = Execute/optimize  -&gt;  1 = Invent/explore</t>
        </is>
      </c>
      <c r="D62" s="17" t="inlineStr">
        <is>
          <t>B</t>
        </is>
      </c>
      <c r="E62" s="12" t="n"/>
      <c r="F62" s="12" t="n"/>
      <c r="G62" s="19" t="n"/>
    </row>
    <row r="63">
      <c r="A63" s="16" t="n"/>
      <c r="B63" s="17" t="inlineStr">
        <is>
          <t>decision</t>
        </is>
      </c>
      <c r="C63" s="18" t="inlineStr">
        <is>
          <t>0 = Intuition/judgement  -&gt;  1 = Data/analysis</t>
        </is>
      </c>
      <c r="D63" s="17" t="inlineStr">
        <is>
          <t>A</t>
        </is>
      </c>
      <c r="E63" s="12" t="n"/>
      <c r="F63" s="12" t="n"/>
      <c r="G63" s="19" t="n"/>
    </row>
    <row r="64">
      <c r="A64" s="16" t="n"/>
      <c r="B64" s="17" t="inlineStr">
        <is>
          <t>decision</t>
        </is>
      </c>
      <c r="C64" s="18" t="inlineStr">
        <is>
          <t>0 = Intuition/judgement  -&gt;  1 = Data/analysis</t>
        </is>
      </c>
      <c r="D64" s="17" t="inlineStr">
        <is>
          <t>B</t>
        </is>
      </c>
      <c r="E64" s="12" t="n"/>
      <c r="F64" s="12" t="n"/>
      <c r="G64" s="19" t="n"/>
    </row>
    <row r="65">
      <c r="A65" s="16" t="n"/>
      <c r="B65" s="17" t="inlineStr">
        <is>
          <t>autonomy</t>
        </is>
      </c>
      <c r="C65" s="18" t="inlineStr">
        <is>
          <t>0 = Directed  -&gt;  1 = Self-directed</t>
        </is>
      </c>
      <c r="D65" s="17" t="inlineStr">
        <is>
          <t>A</t>
        </is>
      </c>
      <c r="E65" s="12" t="n"/>
      <c r="F65" s="12" t="n"/>
      <c r="G65" s="19" t="n"/>
    </row>
    <row r="66">
      <c r="A66" s="16" t="n"/>
      <c r="B66" s="17" t="inlineStr">
        <is>
          <t>autonomy</t>
        </is>
      </c>
      <c r="C66" s="18" t="inlineStr">
        <is>
          <t>0 = Directed  -&gt;  1 = Self-directed</t>
        </is>
      </c>
      <c r="D66" s="17" t="inlineStr">
        <is>
          <t>B</t>
        </is>
      </c>
      <c r="E66" s="12" t="n"/>
      <c r="F66" s="12" t="n"/>
      <c r="G66" s="19" t="n"/>
    </row>
    <row r="67">
      <c r="A67" s="16" t="n"/>
      <c r="B67" s="17" t="inlineStr">
        <is>
          <t>pace</t>
        </is>
      </c>
      <c r="C67" s="18" t="inlineStr">
        <is>
          <t>0 = Steady  -&gt;  1 = Fast</t>
        </is>
      </c>
      <c r="D67" s="17" t="inlineStr">
        <is>
          <t>A</t>
        </is>
      </c>
      <c r="E67" s="12" t="n"/>
      <c r="F67" s="12" t="n"/>
      <c r="G67" s="19" t="n"/>
    </row>
    <row r="68">
      <c r="A68" s="16" t="n"/>
      <c r="B68" s="17" t="inlineStr">
        <is>
          <t>pace</t>
        </is>
      </c>
      <c r="C68" s="18" t="inlineStr">
        <is>
          <t>0 = Steady  -&gt;  1 = Fast</t>
        </is>
      </c>
      <c r="D68" s="17" t="inlineStr">
        <is>
          <t>B</t>
        </is>
      </c>
      <c r="E68" s="12" t="n"/>
      <c r="F68" s="12" t="n"/>
      <c r="G68" s="19" t="n"/>
    </row>
    <row r="69">
      <c r="A69" s="16" t="n"/>
      <c r="B69" s="17" t="inlineStr">
        <is>
          <t>collaboration</t>
        </is>
      </c>
      <c r="C69" s="18" t="inlineStr">
        <is>
          <t>0 = Solo  -&gt;  1 = Collective</t>
        </is>
      </c>
      <c r="D69" s="17" t="inlineStr">
        <is>
          <t>A</t>
        </is>
      </c>
      <c r="E69" s="12" t="n"/>
      <c r="F69" s="12" t="n"/>
      <c r="G69" s="19" t="n"/>
    </row>
    <row r="70">
      <c r="A70" s="16" t="n"/>
      <c r="B70" s="17" t="inlineStr">
        <is>
          <t>collaboration</t>
        </is>
      </c>
      <c r="C70" s="18" t="inlineStr">
        <is>
          <t>0 = Solo  -&gt;  1 = Collective</t>
        </is>
      </c>
      <c r="D70" s="17" t="inlineStr">
        <is>
          <t>B</t>
        </is>
      </c>
      <c r="E70" s="12" t="n"/>
      <c r="F70" s="12" t="n"/>
      <c r="G70" s="19" t="n"/>
    </row>
    <row r="71">
      <c r="A71" s="16" t="n"/>
      <c r="B71" s="17" t="inlineStr">
        <is>
          <t>feedback</t>
        </is>
      </c>
      <c r="C71" s="18" t="inlineStr">
        <is>
          <t>0 = Sparse/gentle  -&gt;  1 = Frequent/blunt</t>
        </is>
      </c>
      <c r="D71" s="17" t="inlineStr">
        <is>
          <t>A</t>
        </is>
      </c>
      <c r="E71" s="12" t="n"/>
      <c r="F71" s="12" t="n"/>
      <c r="G71" s="19" t="n"/>
    </row>
    <row r="72">
      <c r="A72" s="16" t="n"/>
      <c r="B72" s="17" t="inlineStr">
        <is>
          <t>feedback</t>
        </is>
      </c>
      <c r="C72" s="18" t="inlineStr">
        <is>
          <t>0 = Sparse/gentle  -&gt;  1 = Frequent/blunt</t>
        </is>
      </c>
      <c r="D72" s="17" t="inlineStr">
        <is>
          <t>B</t>
        </is>
      </c>
      <c r="E72" s="12" t="n"/>
      <c r="F72" s="12" t="n"/>
      <c r="G72" s="19" t="n"/>
    </row>
    <row r="73">
      <c r="A73" s="16" t="n"/>
      <c r="B73" s="17" t="inlineStr">
        <is>
          <t>innovation</t>
        </is>
      </c>
      <c r="C73" s="18" t="inlineStr">
        <is>
          <t>0 = Execute/optimize  -&gt;  1 = Invent/explore</t>
        </is>
      </c>
      <c r="D73" s="17" t="inlineStr">
        <is>
          <t>A</t>
        </is>
      </c>
      <c r="E73" s="12" t="n"/>
      <c r="F73" s="12" t="n"/>
      <c r="G73" s="19" t="n"/>
    </row>
    <row r="74">
      <c r="A74" s="16" t="n"/>
      <c r="B74" s="17" t="inlineStr">
        <is>
          <t>innovation</t>
        </is>
      </c>
      <c r="C74" s="18" t="inlineStr">
        <is>
          <t>0 = Execute/optimize  -&gt;  1 = Invent/explore</t>
        </is>
      </c>
      <c r="D74" s="17" t="inlineStr">
        <is>
          <t>B</t>
        </is>
      </c>
      <c r="E74" s="12" t="n"/>
      <c r="F74" s="12" t="n"/>
      <c r="G74" s="19" t="n"/>
    </row>
    <row r="75">
      <c r="A75" s="16" t="n"/>
      <c r="B75" s="17" t="inlineStr">
        <is>
          <t>decision</t>
        </is>
      </c>
      <c r="C75" s="18" t="inlineStr">
        <is>
          <t>0 = Intuition/judgement  -&gt;  1 = Data/analysis</t>
        </is>
      </c>
      <c r="D75" s="17" t="inlineStr">
        <is>
          <t>A</t>
        </is>
      </c>
      <c r="E75" s="12" t="n"/>
      <c r="F75" s="12" t="n"/>
      <c r="G75" s="19" t="n"/>
    </row>
    <row r="76">
      <c r="A76" s="16" t="n"/>
      <c r="B76" s="17" t="inlineStr">
        <is>
          <t>decision</t>
        </is>
      </c>
      <c r="C76" s="18" t="inlineStr">
        <is>
          <t>0 = Intuition/judgement  -&gt;  1 = Data/analysis</t>
        </is>
      </c>
      <c r="D76" s="17" t="inlineStr">
        <is>
          <t>B</t>
        </is>
      </c>
      <c r="E76" s="12" t="n"/>
      <c r="F76" s="12" t="n"/>
      <c r="G76" s="19" t="n"/>
    </row>
    <row r="77">
      <c r="A77" s="16" t="n"/>
      <c r="B77" s="17" t="inlineStr">
        <is>
          <t>autonomy</t>
        </is>
      </c>
      <c r="C77" s="18" t="inlineStr">
        <is>
          <t>0 = Directed  -&gt;  1 = Self-directed</t>
        </is>
      </c>
      <c r="D77" s="17" t="inlineStr">
        <is>
          <t>A</t>
        </is>
      </c>
      <c r="E77" s="12" t="n"/>
      <c r="F77" s="12" t="n"/>
      <c r="G77" s="19" t="n"/>
    </row>
    <row r="78">
      <c r="A78" s="16" t="n"/>
      <c r="B78" s="17" t="inlineStr">
        <is>
          <t>autonomy</t>
        </is>
      </c>
      <c r="C78" s="18" t="inlineStr">
        <is>
          <t>0 = Directed  -&gt;  1 = Self-directed</t>
        </is>
      </c>
      <c r="D78" s="17" t="inlineStr">
        <is>
          <t>B</t>
        </is>
      </c>
      <c r="E78" s="12" t="n"/>
      <c r="F78" s="12" t="n"/>
      <c r="G78" s="19" t="n"/>
    </row>
    <row r="79">
      <c r="A79" s="16" t="n"/>
      <c r="B79" s="17" t="inlineStr">
        <is>
          <t>pace</t>
        </is>
      </c>
      <c r="C79" s="18" t="inlineStr">
        <is>
          <t>0 = Steady  -&gt;  1 = Fast</t>
        </is>
      </c>
      <c r="D79" s="17" t="inlineStr">
        <is>
          <t>A</t>
        </is>
      </c>
      <c r="E79" s="12" t="n"/>
      <c r="F79" s="12" t="n"/>
      <c r="G79" s="19" t="n"/>
    </row>
    <row r="80">
      <c r="A80" s="16" t="n"/>
      <c r="B80" s="17" t="inlineStr">
        <is>
          <t>pace</t>
        </is>
      </c>
      <c r="C80" s="18" t="inlineStr">
        <is>
          <t>0 = Steady  -&gt;  1 = Fast</t>
        </is>
      </c>
      <c r="D80" s="17" t="inlineStr">
        <is>
          <t>B</t>
        </is>
      </c>
      <c r="E80" s="12" t="n"/>
      <c r="F80" s="12" t="n"/>
      <c r="G80" s="19" t="n"/>
    </row>
    <row r="81">
      <c r="A81" s="16" t="n"/>
      <c r="B81" s="17" t="inlineStr">
        <is>
          <t>collaboration</t>
        </is>
      </c>
      <c r="C81" s="18" t="inlineStr">
        <is>
          <t>0 = Solo  -&gt;  1 = Collective</t>
        </is>
      </c>
      <c r="D81" s="17" t="inlineStr">
        <is>
          <t>A</t>
        </is>
      </c>
      <c r="E81" s="12" t="n"/>
      <c r="F81" s="12" t="n"/>
      <c r="G81" s="19" t="n"/>
    </row>
    <row r="82">
      <c r="A82" s="16" t="n"/>
      <c r="B82" s="17" t="inlineStr">
        <is>
          <t>collaboration</t>
        </is>
      </c>
      <c r="C82" s="18" t="inlineStr">
        <is>
          <t>0 = Solo  -&gt;  1 = Collective</t>
        </is>
      </c>
      <c r="D82" s="17" t="inlineStr">
        <is>
          <t>B</t>
        </is>
      </c>
      <c r="E82" s="12" t="n"/>
      <c r="F82" s="12" t="n"/>
      <c r="G82" s="19" t="n"/>
    </row>
    <row r="83">
      <c r="A83" s="16" t="n"/>
      <c r="B83" s="17" t="inlineStr">
        <is>
          <t>feedback</t>
        </is>
      </c>
      <c r="C83" s="18" t="inlineStr">
        <is>
          <t>0 = Sparse/gentle  -&gt;  1 = Frequent/blunt</t>
        </is>
      </c>
      <c r="D83" s="17" t="inlineStr">
        <is>
          <t>A</t>
        </is>
      </c>
      <c r="E83" s="12" t="n"/>
      <c r="F83" s="12" t="n"/>
      <c r="G83" s="19" t="n"/>
    </row>
    <row r="84">
      <c r="A84" s="16" t="n"/>
      <c r="B84" s="17" t="inlineStr">
        <is>
          <t>feedback</t>
        </is>
      </c>
      <c r="C84" s="18" t="inlineStr">
        <is>
          <t>0 = Sparse/gentle  -&gt;  1 = Frequent/blunt</t>
        </is>
      </c>
      <c r="D84" s="17" t="inlineStr">
        <is>
          <t>B</t>
        </is>
      </c>
      <c r="E84" s="12" t="n"/>
      <c r="F84" s="12" t="n"/>
      <c r="G84" s="19" t="n"/>
    </row>
    <row r="85">
      <c r="A85" s="16" t="n"/>
      <c r="B85" s="17" t="inlineStr">
        <is>
          <t>innovation</t>
        </is>
      </c>
      <c r="C85" s="18" t="inlineStr">
        <is>
          <t>0 = Execute/optimize  -&gt;  1 = Invent/explore</t>
        </is>
      </c>
      <c r="D85" s="17" t="inlineStr">
        <is>
          <t>A</t>
        </is>
      </c>
      <c r="E85" s="12" t="n"/>
      <c r="F85" s="12" t="n"/>
      <c r="G85" s="19" t="n"/>
    </row>
    <row r="86">
      <c r="A86" s="16" t="n"/>
      <c r="B86" s="17" t="inlineStr">
        <is>
          <t>innovation</t>
        </is>
      </c>
      <c r="C86" s="18" t="inlineStr">
        <is>
          <t>0 = Execute/optimize  -&gt;  1 = Invent/explore</t>
        </is>
      </c>
      <c r="D86" s="17" t="inlineStr">
        <is>
          <t>B</t>
        </is>
      </c>
      <c r="E86" s="12" t="n"/>
      <c r="F86" s="12" t="n"/>
      <c r="G86" s="19" t="n"/>
    </row>
    <row r="87">
      <c r="A87" s="16" t="n"/>
      <c r="B87" s="17" t="inlineStr">
        <is>
          <t>decision</t>
        </is>
      </c>
      <c r="C87" s="18" t="inlineStr">
        <is>
          <t>0 = Intuition/judgement  -&gt;  1 = Data/analysis</t>
        </is>
      </c>
      <c r="D87" s="17" t="inlineStr">
        <is>
          <t>A</t>
        </is>
      </c>
      <c r="E87" s="12" t="n"/>
      <c r="F87" s="12" t="n"/>
      <c r="G87" s="19" t="n"/>
    </row>
    <row r="88">
      <c r="A88" s="16" t="n"/>
      <c r="B88" s="17" t="inlineStr">
        <is>
          <t>decision</t>
        </is>
      </c>
      <c r="C88" s="18" t="inlineStr">
        <is>
          <t>0 = Intuition/judgement  -&gt;  1 = Data/analysis</t>
        </is>
      </c>
      <c r="D88" s="17" t="inlineStr">
        <is>
          <t>B</t>
        </is>
      </c>
      <c r="E88" s="12" t="n"/>
      <c r="F88" s="12" t="n"/>
      <c r="G88" s="19" t="n"/>
    </row>
    <row r="89">
      <c r="A89" s="16" t="n"/>
      <c r="B89" s="17" t="inlineStr">
        <is>
          <t>autonomy</t>
        </is>
      </c>
      <c r="C89" s="18" t="inlineStr">
        <is>
          <t>0 = Directed  -&gt;  1 = Self-directed</t>
        </is>
      </c>
      <c r="D89" s="17" t="inlineStr">
        <is>
          <t>A</t>
        </is>
      </c>
      <c r="E89" s="12" t="n"/>
      <c r="F89" s="12" t="n"/>
      <c r="G89" s="19" t="n"/>
    </row>
    <row r="90">
      <c r="A90" s="16" t="n"/>
      <c r="B90" s="17" t="inlineStr">
        <is>
          <t>autonomy</t>
        </is>
      </c>
      <c r="C90" s="18" t="inlineStr">
        <is>
          <t>0 = Directed  -&gt;  1 = Self-directed</t>
        </is>
      </c>
      <c r="D90" s="17" t="inlineStr">
        <is>
          <t>B</t>
        </is>
      </c>
      <c r="E90" s="12" t="n"/>
      <c r="F90" s="12" t="n"/>
      <c r="G90" s="19" t="n"/>
    </row>
    <row r="91">
      <c r="A91" s="16" t="n"/>
      <c r="B91" s="17" t="inlineStr">
        <is>
          <t>pace</t>
        </is>
      </c>
      <c r="C91" s="18" t="inlineStr">
        <is>
          <t>0 = Steady  -&gt;  1 = Fast</t>
        </is>
      </c>
      <c r="D91" s="17" t="inlineStr">
        <is>
          <t>A</t>
        </is>
      </c>
      <c r="E91" s="12" t="n"/>
      <c r="F91" s="12" t="n"/>
      <c r="G91" s="19" t="n"/>
    </row>
    <row r="92">
      <c r="A92" s="16" t="n"/>
      <c r="B92" s="17" t="inlineStr">
        <is>
          <t>pace</t>
        </is>
      </c>
      <c r="C92" s="18" t="inlineStr">
        <is>
          <t>0 = Steady  -&gt;  1 = Fast</t>
        </is>
      </c>
      <c r="D92" s="17" t="inlineStr">
        <is>
          <t>B</t>
        </is>
      </c>
      <c r="E92" s="12" t="n"/>
      <c r="F92" s="12" t="n"/>
      <c r="G92" s="19" t="n"/>
    </row>
    <row r="93">
      <c r="A93" s="16" t="n"/>
      <c r="B93" s="17" t="inlineStr">
        <is>
          <t>collaboration</t>
        </is>
      </c>
      <c r="C93" s="18" t="inlineStr">
        <is>
          <t>0 = Solo  -&gt;  1 = Collective</t>
        </is>
      </c>
      <c r="D93" s="17" t="inlineStr">
        <is>
          <t>A</t>
        </is>
      </c>
      <c r="E93" s="12" t="n"/>
      <c r="F93" s="12" t="n"/>
      <c r="G93" s="19" t="n"/>
    </row>
    <row r="94">
      <c r="A94" s="16" t="n"/>
      <c r="B94" s="17" t="inlineStr">
        <is>
          <t>collaboration</t>
        </is>
      </c>
      <c r="C94" s="18" t="inlineStr">
        <is>
          <t>0 = Solo  -&gt;  1 = Collective</t>
        </is>
      </c>
      <c r="D94" s="17" t="inlineStr">
        <is>
          <t>B</t>
        </is>
      </c>
      <c r="E94" s="12" t="n"/>
      <c r="F94" s="12" t="n"/>
      <c r="G94" s="19" t="n"/>
    </row>
    <row r="95">
      <c r="A95" s="16" t="n"/>
      <c r="B95" s="17" t="inlineStr">
        <is>
          <t>feedback</t>
        </is>
      </c>
      <c r="C95" s="18" t="inlineStr">
        <is>
          <t>0 = Sparse/gentle  -&gt;  1 = Frequent/blunt</t>
        </is>
      </c>
      <c r="D95" s="17" t="inlineStr">
        <is>
          <t>A</t>
        </is>
      </c>
      <c r="E95" s="12" t="n"/>
      <c r="F95" s="12" t="n"/>
      <c r="G95" s="19" t="n"/>
    </row>
    <row r="96">
      <c r="A96" s="16" t="n"/>
      <c r="B96" s="17" t="inlineStr">
        <is>
          <t>feedback</t>
        </is>
      </c>
      <c r="C96" s="18" t="inlineStr">
        <is>
          <t>0 = Sparse/gentle  -&gt;  1 = Frequent/blunt</t>
        </is>
      </c>
      <c r="D96" s="17" t="inlineStr">
        <is>
          <t>B</t>
        </is>
      </c>
      <c r="E96" s="12" t="n"/>
      <c r="F96" s="12" t="n"/>
      <c r="G96" s="19" t="n"/>
    </row>
    <row r="97">
      <c r="A97" s="16" t="n"/>
      <c r="B97" s="17" t="inlineStr">
        <is>
          <t>innovation</t>
        </is>
      </c>
      <c r="C97" s="18" t="inlineStr">
        <is>
          <t>0 = Execute/optimize  -&gt;  1 = Invent/explore</t>
        </is>
      </c>
      <c r="D97" s="17" t="inlineStr">
        <is>
          <t>A</t>
        </is>
      </c>
      <c r="E97" s="12" t="n"/>
      <c r="F97" s="12" t="n"/>
      <c r="G97" s="19" t="n"/>
    </row>
    <row r="98">
      <c r="A98" s="16" t="n"/>
      <c r="B98" s="17" t="inlineStr">
        <is>
          <t>innovation</t>
        </is>
      </c>
      <c r="C98" s="18" t="inlineStr">
        <is>
          <t>0 = Execute/optimize  -&gt;  1 = Invent/explore</t>
        </is>
      </c>
      <c r="D98" s="17" t="inlineStr">
        <is>
          <t>B</t>
        </is>
      </c>
      <c r="E98" s="12" t="n"/>
      <c r="F98" s="12" t="n"/>
      <c r="G98" s="19" t="n"/>
    </row>
    <row r="99">
      <c r="A99" s="16" t="n"/>
      <c r="B99" s="17" t="inlineStr">
        <is>
          <t>decision</t>
        </is>
      </c>
      <c r="C99" s="18" t="inlineStr">
        <is>
          <t>0 = Intuition/judgement  -&gt;  1 = Data/analysis</t>
        </is>
      </c>
      <c r="D99" s="17" t="inlineStr">
        <is>
          <t>A</t>
        </is>
      </c>
      <c r="E99" s="12" t="n"/>
      <c r="F99" s="12" t="n"/>
      <c r="G99" s="19" t="n"/>
    </row>
    <row r="100">
      <c r="A100" s="16" t="n"/>
      <c r="B100" s="17" t="inlineStr">
        <is>
          <t>decision</t>
        </is>
      </c>
      <c r="C100" s="18" t="inlineStr">
        <is>
          <t>0 = Intuition/judgement  -&gt;  1 = Data/analysis</t>
        </is>
      </c>
      <c r="D100" s="17" t="inlineStr">
        <is>
          <t>B</t>
        </is>
      </c>
      <c r="E100" s="12" t="n"/>
      <c r="F100" s="12" t="n"/>
      <c r="G100" s="19" t="n"/>
    </row>
    <row r="101">
      <c r="A101" s="16" t="n"/>
      <c r="B101" s="17" t="inlineStr">
        <is>
          <t>autonomy</t>
        </is>
      </c>
      <c r="C101" s="18" t="inlineStr">
        <is>
          <t>0 = Directed  -&gt;  1 = Self-directed</t>
        </is>
      </c>
      <c r="D101" s="17" t="inlineStr">
        <is>
          <t>A</t>
        </is>
      </c>
      <c r="E101" s="12" t="n"/>
      <c r="F101" s="12" t="n"/>
      <c r="G101" s="19" t="n"/>
    </row>
    <row r="102">
      <c r="A102" s="16" t="n"/>
      <c r="B102" s="17" t="inlineStr">
        <is>
          <t>autonomy</t>
        </is>
      </c>
      <c r="C102" s="18" t="inlineStr">
        <is>
          <t>0 = Directed  -&gt;  1 = Self-directed</t>
        </is>
      </c>
      <c r="D102" s="17" t="inlineStr">
        <is>
          <t>B</t>
        </is>
      </c>
      <c r="E102" s="12" t="n"/>
      <c r="F102" s="12" t="n"/>
      <c r="G102" s="19" t="n"/>
    </row>
    <row r="103">
      <c r="A103" s="16" t="n"/>
      <c r="B103" s="17" t="inlineStr">
        <is>
          <t>pace</t>
        </is>
      </c>
      <c r="C103" s="18" t="inlineStr">
        <is>
          <t>0 = Steady  -&gt;  1 = Fast</t>
        </is>
      </c>
      <c r="D103" s="17" t="inlineStr">
        <is>
          <t>A</t>
        </is>
      </c>
      <c r="E103" s="12" t="n"/>
      <c r="F103" s="12" t="n"/>
      <c r="G103" s="19" t="n"/>
    </row>
    <row r="104">
      <c r="A104" s="16" t="n"/>
      <c r="B104" s="17" t="inlineStr">
        <is>
          <t>pace</t>
        </is>
      </c>
      <c r="C104" s="18" t="inlineStr">
        <is>
          <t>0 = Steady  -&gt;  1 = Fast</t>
        </is>
      </c>
      <c r="D104" s="17" t="inlineStr">
        <is>
          <t>B</t>
        </is>
      </c>
      <c r="E104" s="12" t="n"/>
      <c r="F104" s="12" t="n"/>
      <c r="G104" s="19" t="n"/>
    </row>
    <row r="105">
      <c r="A105" s="16" t="n"/>
      <c r="B105" s="17" t="inlineStr">
        <is>
          <t>collaboration</t>
        </is>
      </c>
      <c r="C105" s="18" t="inlineStr">
        <is>
          <t>0 = Solo  -&gt;  1 = Collective</t>
        </is>
      </c>
      <c r="D105" s="17" t="inlineStr">
        <is>
          <t>A</t>
        </is>
      </c>
      <c r="E105" s="12" t="n"/>
      <c r="F105" s="12" t="n"/>
      <c r="G105" s="19" t="n"/>
    </row>
    <row r="106">
      <c r="A106" s="16" t="n"/>
      <c r="B106" s="17" t="inlineStr">
        <is>
          <t>collaboration</t>
        </is>
      </c>
      <c r="C106" s="18" t="inlineStr">
        <is>
          <t>0 = Solo  -&gt;  1 = Collective</t>
        </is>
      </c>
      <c r="D106" s="17" t="inlineStr">
        <is>
          <t>B</t>
        </is>
      </c>
      <c r="E106" s="12" t="n"/>
      <c r="F106" s="12" t="n"/>
      <c r="G106" s="19" t="n"/>
    </row>
    <row r="107">
      <c r="A107" s="16" t="n"/>
      <c r="B107" s="17" t="inlineStr">
        <is>
          <t>feedback</t>
        </is>
      </c>
      <c r="C107" s="18" t="inlineStr">
        <is>
          <t>0 = Sparse/gentle  -&gt;  1 = Frequent/blunt</t>
        </is>
      </c>
      <c r="D107" s="17" t="inlineStr">
        <is>
          <t>A</t>
        </is>
      </c>
      <c r="E107" s="12" t="n"/>
      <c r="F107" s="12" t="n"/>
      <c r="G107" s="19" t="n"/>
    </row>
    <row r="108">
      <c r="A108" s="16" t="n"/>
      <c r="B108" s="17" t="inlineStr">
        <is>
          <t>feedback</t>
        </is>
      </c>
      <c r="C108" s="18" t="inlineStr">
        <is>
          <t>0 = Sparse/gentle  -&gt;  1 = Frequent/blunt</t>
        </is>
      </c>
      <c r="D108" s="17" t="inlineStr">
        <is>
          <t>B</t>
        </is>
      </c>
      <c r="E108" s="12" t="n"/>
      <c r="F108" s="12" t="n"/>
      <c r="G108" s="19" t="n"/>
    </row>
    <row r="109">
      <c r="A109" s="16" t="n"/>
      <c r="B109" s="17" t="inlineStr">
        <is>
          <t>innovation</t>
        </is>
      </c>
      <c r="C109" s="18" t="inlineStr">
        <is>
          <t>0 = Execute/optimize  -&gt;  1 = Invent/explore</t>
        </is>
      </c>
      <c r="D109" s="17" t="inlineStr">
        <is>
          <t>A</t>
        </is>
      </c>
      <c r="E109" s="12" t="n"/>
      <c r="F109" s="12" t="n"/>
      <c r="G109" s="19" t="n"/>
    </row>
    <row r="110">
      <c r="A110" s="16" t="n"/>
      <c r="B110" s="17" t="inlineStr">
        <is>
          <t>innovation</t>
        </is>
      </c>
      <c r="C110" s="18" t="inlineStr">
        <is>
          <t>0 = Execute/optimize  -&gt;  1 = Invent/explore</t>
        </is>
      </c>
      <c r="D110" s="17" t="inlineStr">
        <is>
          <t>B</t>
        </is>
      </c>
      <c r="E110" s="12" t="n"/>
      <c r="F110" s="12" t="n"/>
      <c r="G110" s="19" t="n"/>
    </row>
    <row r="111">
      <c r="A111" s="16" t="n"/>
      <c r="B111" s="17" t="inlineStr">
        <is>
          <t>decision</t>
        </is>
      </c>
      <c r="C111" s="18" t="inlineStr">
        <is>
          <t>0 = Intuition/judgement  -&gt;  1 = Data/analysis</t>
        </is>
      </c>
      <c r="D111" s="17" t="inlineStr">
        <is>
          <t>A</t>
        </is>
      </c>
      <c r="E111" s="12" t="n"/>
      <c r="F111" s="12" t="n"/>
      <c r="G111" s="19" t="n"/>
    </row>
    <row r="112">
      <c r="A112" s="16" t="n"/>
      <c r="B112" s="17" t="inlineStr">
        <is>
          <t>decision</t>
        </is>
      </c>
      <c r="C112" s="18" t="inlineStr">
        <is>
          <t>0 = Intuition/judgement  -&gt;  1 = Data/analysis</t>
        </is>
      </c>
      <c r="D112" s="17" t="inlineStr">
        <is>
          <t>B</t>
        </is>
      </c>
      <c r="E112" s="12" t="n"/>
      <c r="F112" s="12" t="n"/>
      <c r="G112" s="19" t="n"/>
    </row>
    <row r="113">
      <c r="A113" s="16" t="n"/>
      <c r="B113" s="17" t="inlineStr">
        <is>
          <t>autonomy</t>
        </is>
      </c>
      <c r="C113" s="18" t="inlineStr">
        <is>
          <t>0 = Directed  -&gt;  1 = Self-directed</t>
        </is>
      </c>
      <c r="D113" s="17" t="inlineStr">
        <is>
          <t>A</t>
        </is>
      </c>
      <c r="E113" s="12" t="n"/>
      <c r="F113" s="12" t="n"/>
      <c r="G113" s="19" t="n"/>
    </row>
    <row r="114">
      <c r="A114" s="16" t="n"/>
      <c r="B114" s="17" t="inlineStr">
        <is>
          <t>autonomy</t>
        </is>
      </c>
      <c r="C114" s="18" t="inlineStr">
        <is>
          <t>0 = Directed  -&gt;  1 = Self-directed</t>
        </is>
      </c>
      <c r="D114" s="17" t="inlineStr">
        <is>
          <t>B</t>
        </is>
      </c>
      <c r="E114" s="12" t="n"/>
      <c r="F114" s="12" t="n"/>
      <c r="G114" s="19" t="n"/>
    </row>
    <row r="115">
      <c r="A115" s="16" t="n"/>
      <c r="B115" s="17" t="inlineStr">
        <is>
          <t>pace</t>
        </is>
      </c>
      <c r="C115" s="18" t="inlineStr">
        <is>
          <t>0 = Steady  -&gt;  1 = Fast</t>
        </is>
      </c>
      <c r="D115" s="17" t="inlineStr">
        <is>
          <t>A</t>
        </is>
      </c>
      <c r="E115" s="12" t="n"/>
      <c r="F115" s="12" t="n"/>
      <c r="G115" s="19" t="n"/>
    </row>
    <row r="116">
      <c r="A116" s="16" t="n"/>
      <c r="B116" s="17" t="inlineStr">
        <is>
          <t>pace</t>
        </is>
      </c>
      <c r="C116" s="18" t="inlineStr">
        <is>
          <t>0 = Steady  -&gt;  1 = Fast</t>
        </is>
      </c>
      <c r="D116" s="17" t="inlineStr">
        <is>
          <t>B</t>
        </is>
      </c>
      <c r="E116" s="12" t="n"/>
      <c r="F116" s="12" t="n"/>
      <c r="G116" s="19" t="n"/>
    </row>
    <row r="117">
      <c r="A117" s="16" t="n"/>
      <c r="B117" s="17" t="inlineStr">
        <is>
          <t>collaboration</t>
        </is>
      </c>
      <c r="C117" s="18" t="inlineStr">
        <is>
          <t>0 = Solo  -&gt;  1 = Collective</t>
        </is>
      </c>
      <c r="D117" s="17" t="inlineStr">
        <is>
          <t>A</t>
        </is>
      </c>
      <c r="E117" s="12" t="n"/>
      <c r="F117" s="12" t="n"/>
      <c r="G117" s="19" t="n"/>
    </row>
    <row r="118">
      <c r="A118" s="16" t="n"/>
      <c r="B118" s="17" t="inlineStr">
        <is>
          <t>collaboration</t>
        </is>
      </c>
      <c r="C118" s="18" t="inlineStr">
        <is>
          <t>0 = Solo  -&gt;  1 = Collective</t>
        </is>
      </c>
      <c r="D118" s="17" t="inlineStr">
        <is>
          <t>B</t>
        </is>
      </c>
      <c r="E118" s="12" t="n"/>
      <c r="F118" s="12" t="n"/>
      <c r="G118" s="19" t="n"/>
    </row>
    <row r="119">
      <c r="A119" s="16" t="n"/>
      <c r="B119" s="17" t="inlineStr">
        <is>
          <t>feedback</t>
        </is>
      </c>
      <c r="C119" s="18" t="inlineStr">
        <is>
          <t>0 = Sparse/gentle  -&gt;  1 = Frequent/blunt</t>
        </is>
      </c>
      <c r="D119" s="17" t="inlineStr">
        <is>
          <t>A</t>
        </is>
      </c>
      <c r="E119" s="12" t="n"/>
      <c r="F119" s="12" t="n"/>
      <c r="G119" s="19" t="n"/>
    </row>
    <row r="120">
      <c r="A120" s="16" t="n"/>
      <c r="B120" s="17" t="inlineStr">
        <is>
          <t>feedback</t>
        </is>
      </c>
      <c r="C120" s="18" t="inlineStr">
        <is>
          <t>0 = Sparse/gentle  -&gt;  1 = Frequent/blunt</t>
        </is>
      </c>
      <c r="D120" s="17" t="inlineStr">
        <is>
          <t>B</t>
        </is>
      </c>
      <c r="E120" s="12" t="n"/>
      <c r="F120" s="12" t="n"/>
      <c r="G120" s="19" t="n"/>
    </row>
    <row r="121">
      <c r="A121" s="16" t="n"/>
      <c r="B121" s="17" t="inlineStr">
        <is>
          <t>innovation</t>
        </is>
      </c>
      <c r="C121" s="18" t="inlineStr">
        <is>
          <t>0 = Execute/optimize  -&gt;  1 = Invent/explore</t>
        </is>
      </c>
      <c r="D121" s="17" t="inlineStr">
        <is>
          <t>A</t>
        </is>
      </c>
      <c r="E121" s="12" t="n"/>
      <c r="F121" s="12" t="n"/>
      <c r="G121" s="19" t="n"/>
    </row>
    <row r="122">
      <c r="A122" s="16" t="n"/>
      <c r="B122" s="17" t="inlineStr">
        <is>
          <t>innovation</t>
        </is>
      </c>
      <c r="C122" s="18" t="inlineStr">
        <is>
          <t>0 = Execute/optimize  -&gt;  1 = Invent/explore</t>
        </is>
      </c>
      <c r="D122" s="17" t="inlineStr">
        <is>
          <t>B</t>
        </is>
      </c>
      <c r="E122" s="12" t="n"/>
      <c r="F122" s="12" t="n"/>
      <c r="G122" s="19" t="n"/>
    </row>
    <row r="123">
      <c r="A123" s="16" t="n"/>
      <c r="B123" s="17" t="inlineStr">
        <is>
          <t>decision</t>
        </is>
      </c>
      <c r="C123" s="18" t="inlineStr">
        <is>
          <t>0 = Intuition/judgement  -&gt;  1 = Data/analysis</t>
        </is>
      </c>
      <c r="D123" s="17" t="inlineStr">
        <is>
          <t>A</t>
        </is>
      </c>
      <c r="E123" s="12" t="n"/>
      <c r="F123" s="12" t="n"/>
      <c r="G123" s="19" t="n"/>
    </row>
    <row r="124">
      <c r="A124" s="16" t="n"/>
      <c r="B124" s="17" t="inlineStr">
        <is>
          <t>decision</t>
        </is>
      </c>
      <c r="C124" s="18" t="inlineStr">
        <is>
          <t>0 = Intuition/judgement  -&gt;  1 = Data/analysis</t>
        </is>
      </c>
      <c r="D124" s="17" t="inlineStr">
        <is>
          <t>B</t>
        </is>
      </c>
      <c r="E124" s="12" t="n"/>
      <c r="F124" s="12" t="n"/>
      <c r="G124" s="19" t="n"/>
    </row>
    <row r="125">
      <c r="A125" s="16" t="n"/>
      <c r="B125" s="17" t="inlineStr">
        <is>
          <t>autonomy</t>
        </is>
      </c>
      <c r="C125" s="18" t="inlineStr">
        <is>
          <t>0 = Directed  -&gt;  1 = Self-directed</t>
        </is>
      </c>
      <c r="D125" s="17" t="inlineStr">
        <is>
          <t>A</t>
        </is>
      </c>
      <c r="E125" s="12" t="n"/>
      <c r="F125" s="12" t="n"/>
      <c r="G125" s="19" t="n"/>
    </row>
    <row r="126">
      <c r="A126" s="16" t="n"/>
      <c r="B126" s="17" t="inlineStr">
        <is>
          <t>autonomy</t>
        </is>
      </c>
      <c r="C126" s="18" t="inlineStr">
        <is>
          <t>0 = Directed  -&gt;  1 = Self-directed</t>
        </is>
      </c>
      <c r="D126" s="17" t="inlineStr">
        <is>
          <t>B</t>
        </is>
      </c>
      <c r="E126" s="12" t="n"/>
      <c r="F126" s="12" t="n"/>
      <c r="G126" s="19" t="n"/>
    </row>
    <row r="127">
      <c r="A127" s="16" t="n"/>
      <c r="B127" s="17" t="inlineStr">
        <is>
          <t>pace</t>
        </is>
      </c>
      <c r="C127" s="18" t="inlineStr">
        <is>
          <t>0 = Steady  -&gt;  1 = Fast</t>
        </is>
      </c>
      <c r="D127" s="17" t="inlineStr">
        <is>
          <t>A</t>
        </is>
      </c>
      <c r="E127" s="12" t="n"/>
      <c r="F127" s="12" t="n"/>
      <c r="G127" s="19" t="n"/>
    </row>
    <row r="128">
      <c r="A128" s="16" t="n"/>
      <c r="B128" s="17" t="inlineStr">
        <is>
          <t>pace</t>
        </is>
      </c>
      <c r="C128" s="18" t="inlineStr">
        <is>
          <t>0 = Steady  -&gt;  1 = Fast</t>
        </is>
      </c>
      <c r="D128" s="17" t="inlineStr">
        <is>
          <t>B</t>
        </is>
      </c>
      <c r="E128" s="12" t="n"/>
      <c r="F128" s="12" t="n"/>
      <c r="G128" s="19" t="n"/>
    </row>
    <row r="129">
      <c r="A129" s="16" t="n"/>
      <c r="B129" s="17" t="inlineStr">
        <is>
          <t>collaboration</t>
        </is>
      </c>
      <c r="C129" s="18" t="inlineStr">
        <is>
          <t>0 = Solo  -&gt;  1 = Collective</t>
        </is>
      </c>
      <c r="D129" s="17" t="inlineStr">
        <is>
          <t>A</t>
        </is>
      </c>
      <c r="E129" s="12" t="n"/>
      <c r="F129" s="12" t="n"/>
      <c r="G129" s="19" t="n"/>
    </row>
    <row r="130">
      <c r="A130" s="16" t="n"/>
      <c r="B130" s="17" t="inlineStr">
        <is>
          <t>collaboration</t>
        </is>
      </c>
      <c r="C130" s="18" t="inlineStr">
        <is>
          <t>0 = Solo  -&gt;  1 = Collective</t>
        </is>
      </c>
      <c r="D130" s="17" t="inlineStr">
        <is>
          <t>B</t>
        </is>
      </c>
      <c r="E130" s="12" t="n"/>
      <c r="F130" s="12" t="n"/>
      <c r="G130" s="19" t="n"/>
    </row>
    <row r="131">
      <c r="A131" s="16" t="n"/>
      <c r="B131" s="17" t="inlineStr">
        <is>
          <t>feedback</t>
        </is>
      </c>
      <c r="C131" s="18" t="inlineStr">
        <is>
          <t>0 = Sparse/gentle  -&gt;  1 = Frequent/blunt</t>
        </is>
      </c>
      <c r="D131" s="17" t="inlineStr">
        <is>
          <t>A</t>
        </is>
      </c>
      <c r="E131" s="12" t="n"/>
      <c r="F131" s="12" t="n"/>
      <c r="G131" s="19" t="n"/>
    </row>
    <row r="132">
      <c r="A132" s="16" t="n"/>
      <c r="B132" s="17" t="inlineStr">
        <is>
          <t>feedback</t>
        </is>
      </c>
      <c r="C132" s="18" t="inlineStr">
        <is>
          <t>0 = Sparse/gentle  -&gt;  1 = Frequent/blunt</t>
        </is>
      </c>
      <c r="D132" s="17" t="inlineStr">
        <is>
          <t>B</t>
        </is>
      </c>
      <c r="E132" s="12" t="n"/>
      <c r="F132" s="12" t="n"/>
      <c r="G132" s="19" t="n"/>
    </row>
    <row r="133">
      <c r="A133" s="16" t="n"/>
      <c r="B133" s="17" t="inlineStr">
        <is>
          <t>innovation</t>
        </is>
      </c>
      <c r="C133" s="18" t="inlineStr">
        <is>
          <t>0 = Execute/optimize  -&gt;  1 = Invent/explore</t>
        </is>
      </c>
      <c r="D133" s="17" t="inlineStr">
        <is>
          <t>A</t>
        </is>
      </c>
      <c r="E133" s="12" t="n"/>
      <c r="F133" s="12" t="n"/>
      <c r="G133" s="19" t="n"/>
    </row>
    <row r="134">
      <c r="A134" s="16" t="n"/>
      <c r="B134" s="17" t="inlineStr">
        <is>
          <t>innovation</t>
        </is>
      </c>
      <c r="C134" s="18" t="inlineStr">
        <is>
          <t>0 = Execute/optimize  -&gt;  1 = Invent/explore</t>
        </is>
      </c>
      <c r="D134" s="17" t="inlineStr">
        <is>
          <t>B</t>
        </is>
      </c>
      <c r="E134" s="12" t="n"/>
      <c r="F134" s="12" t="n"/>
      <c r="G134" s="19" t="n"/>
    </row>
    <row r="135">
      <c r="A135" s="16" t="n"/>
      <c r="B135" s="17" t="inlineStr">
        <is>
          <t>decision</t>
        </is>
      </c>
      <c r="C135" s="18" t="inlineStr">
        <is>
          <t>0 = Intuition/judgement  -&gt;  1 = Data/analysis</t>
        </is>
      </c>
      <c r="D135" s="17" t="inlineStr">
        <is>
          <t>A</t>
        </is>
      </c>
      <c r="E135" s="12" t="n"/>
      <c r="F135" s="12" t="n"/>
      <c r="G135" s="19" t="n"/>
    </row>
    <row r="136">
      <c r="A136" s="16" t="n"/>
      <c r="B136" s="17" t="inlineStr">
        <is>
          <t>decision</t>
        </is>
      </c>
      <c r="C136" s="18" t="inlineStr">
        <is>
          <t>0 = Intuition/judgement  -&gt;  1 = Data/analysis</t>
        </is>
      </c>
      <c r="D136" s="17" t="inlineStr">
        <is>
          <t>B</t>
        </is>
      </c>
      <c r="E136" s="12" t="n"/>
      <c r="F136" s="12" t="n"/>
      <c r="G136" s="19" t="n"/>
    </row>
    <row r="137">
      <c r="A137" s="16" t="n"/>
      <c r="B137" s="17" t="inlineStr">
        <is>
          <t>autonomy</t>
        </is>
      </c>
      <c r="C137" s="18" t="inlineStr">
        <is>
          <t>0 = Directed  -&gt;  1 = Self-directed</t>
        </is>
      </c>
      <c r="D137" s="17" t="inlineStr">
        <is>
          <t>A</t>
        </is>
      </c>
      <c r="E137" s="12" t="n"/>
      <c r="F137" s="12" t="n"/>
      <c r="G137" s="19" t="n"/>
    </row>
    <row r="138">
      <c r="A138" s="16" t="n"/>
      <c r="B138" s="17" t="inlineStr">
        <is>
          <t>autonomy</t>
        </is>
      </c>
      <c r="C138" s="18" t="inlineStr">
        <is>
          <t>0 = Directed  -&gt;  1 = Self-directed</t>
        </is>
      </c>
      <c r="D138" s="17" t="inlineStr">
        <is>
          <t>B</t>
        </is>
      </c>
      <c r="E138" s="12" t="n"/>
      <c r="F138" s="12" t="n"/>
      <c r="G138" s="19" t="n"/>
    </row>
    <row r="139">
      <c r="A139" s="16" t="n"/>
      <c r="B139" s="17" t="inlineStr">
        <is>
          <t>pace</t>
        </is>
      </c>
      <c r="C139" s="18" t="inlineStr">
        <is>
          <t>0 = Steady  -&gt;  1 = Fast</t>
        </is>
      </c>
      <c r="D139" s="17" t="inlineStr">
        <is>
          <t>A</t>
        </is>
      </c>
      <c r="E139" s="12" t="n"/>
      <c r="F139" s="12" t="n"/>
      <c r="G139" s="19" t="n"/>
    </row>
    <row r="140">
      <c r="A140" s="16" t="n"/>
      <c r="B140" s="17" t="inlineStr">
        <is>
          <t>pace</t>
        </is>
      </c>
      <c r="C140" s="18" t="inlineStr">
        <is>
          <t>0 = Steady  -&gt;  1 = Fast</t>
        </is>
      </c>
      <c r="D140" s="17" t="inlineStr">
        <is>
          <t>B</t>
        </is>
      </c>
      <c r="E140" s="12" t="n"/>
      <c r="F140" s="12" t="n"/>
      <c r="G140" s="19" t="n"/>
    </row>
    <row r="141">
      <c r="A141" s="16" t="n"/>
      <c r="B141" s="17" t="inlineStr">
        <is>
          <t>collaboration</t>
        </is>
      </c>
      <c r="C141" s="18" t="inlineStr">
        <is>
          <t>0 = Solo  -&gt;  1 = Collective</t>
        </is>
      </c>
      <c r="D141" s="17" t="inlineStr">
        <is>
          <t>A</t>
        </is>
      </c>
      <c r="E141" s="12" t="n"/>
      <c r="F141" s="12" t="n"/>
      <c r="G141" s="19" t="n"/>
    </row>
    <row r="142">
      <c r="A142" s="16" t="n"/>
      <c r="B142" s="17" t="inlineStr">
        <is>
          <t>collaboration</t>
        </is>
      </c>
      <c r="C142" s="18" t="inlineStr">
        <is>
          <t>0 = Solo  -&gt;  1 = Collective</t>
        </is>
      </c>
      <c r="D142" s="17" t="inlineStr">
        <is>
          <t>B</t>
        </is>
      </c>
      <c r="E142" s="12" t="n"/>
      <c r="F142" s="12" t="n"/>
      <c r="G142" s="19" t="n"/>
    </row>
    <row r="143">
      <c r="A143" s="16" t="n"/>
      <c r="B143" s="17" t="inlineStr">
        <is>
          <t>feedback</t>
        </is>
      </c>
      <c r="C143" s="18" t="inlineStr">
        <is>
          <t>0 = Sparse/gentle  -&gt;  1 = Frequent/blunt</t>
        </is>
      </c>
      <c r="D143" s="17" t="inlineStr">
        <is>
          <t>A</t>
        </is>
      </c>
      <c r="E143" s="12" t="n"/>
      <c r="F143" s="12" t="n"/>
      <c r="G143" s="19" t="n"/>
    </row>
    <row r="144">
      <c r="A144" s="16" t="n"/>
      <c r="B144" s="17" t="inlineStr">
        <is>
          <t>feedback</t>
        </is>
      </c>
      <c r="C144" s="18" t="inlineStr">
        <is>
          <t>0 = Sparse/gentle  -&gt;  1 = Frequent/blunt</t>
        </is>
      </c>
      <c r="D144" s="17" t="inlineStr">
        <is>
          <t>B</t>
        </is>
      </c>
      <c r="E144" s="12" t="n"/>
      <c r="F144" s="12" t="n"/>
      <c r="G144" s="19" t="n"/>
    </row>
    <row r="145">
      <c r="A145" s="16" t="n"/>
      <c r="B145" s="17" t="inlineStr">
        <is>
          <t>innovation</t>
        </is>
      </c>
      <c r="C145" s="18" t="inlineStr">
        <is>
          <t>0 = Execute/optimize  -&gt;  1 = Invent/explore</t>
        </is>
      </c>
      <c r="D145" s="17" t="inlineStr">
        <is>
          <t>A</t>
        </is>
      </c>
      <c r="E145" s="12" t="n"/>
      <c r="F145" s="12" t="n"/>
      <c r="G145" s="19" t="n"/>
    </row>
    <row r="146">
      <c r="A146" s="16" t="n"/>
      <c r="B146" s="17" t="inlineStr">
        <is>
          <t>innovation</t>
        </is>
      </c>
      <c r="C146" s="18" t="inlineStr">
        <is>
          <t>0 = Execute/optimize  -&gt;  1 = Invent/explore</t>
        </is>
      </c>
      <c r="D146" s="17" t="inlineStr">
        <is>
          <t>B</t>
        </is>
      </c>
      <c r="E146" s="12" t="n"/>
      <c r="F146" s="12" t="n"/>
      <c r="G146" s="19" t="n"/>
    </row>
    <row r="147">
      <c r="A147" s="16" t="n"/>
      <c r="B147" s="17" t="inlineStr">
        <is>
          <t>decision</t>
        </is>
      </c>
      <c r="C147" s="18" t="inlineStr">
        <is>
          <t>0 = Intuition/judgement  -&gt;  1 = Data/analysis</t>
        </is>
      </c>
      <c r="D147" s="17" t="inlineStr">
        <is>
          <t>A</t>
        </is>
      </c>
      <c r="E147" s="12" t="n"/>
      <c r="F147" s="12" t="n"/>
      <c r="G147" s="19" t="n"/>
    </row>
    <row r="148">
      <c r="A148" s="16" t="n"/>
      <c r="B148" s="17" t="inlineStr">
        <is>
          <t>decision</t>
        </is>
      </c>
      <c r="C148" s="18" t="inlineStr">
        <is>
          <t>0 = Intuition/judgement  -&gt;  1 = Data/analysis</t>
        </is>
      </c>
      <c r="D148" s="17" t="inlineStr">
        <is>
          <t>B</t>
        </is>
      </c>
      <c r="E148" s="12" t="n"/>
      <c r="F148" s="12" t="n"/>
      <c r="G148" s="19" t="n"/>
    </row>
    <row r="149">
      <c r="A149" s="16" t="n"/>
      <c r="B149" s="17" t="inlineStr">
        <is>
          <t>autonomy</t>
        </is>
      </c>
      <c r="C149" s="18" t="inlineStr">
        <is>
          <t>0 = Directed  -&gt;  1 = Self-directed</t>
        </is>
      </c>
      <c r="D149" s="17" t="inlineStr">
        <is>
          <t>A</t>
        </is>
      </c>
      <c r="E149" s="12" t="n"/>
      <c r="F149" s="12" t="n"/>
      <c r="G149" s="19" t="n"/>
    </row>
    <row r="150">
      <c r="A150" s="16" t="n"/>
      <c r="B150" s="17" t="inlineStr">
        <is>
          <t>autonomy</t>
        </is>
      </c>
      <c r="C150" s="18" t="inlineStr">
        <is>
          <t>0 = Directed  -&gt;  1 = Self-directed</t>
        </is>
      </c>
      <c r="D150" s="17" t="inlineStr">
        <is>
          <t>B</t>
        </is>
      </c>
      <c r="E150" s="12" t="n"/>
      <c r="F150" s="12" t="n"/>
      <c r="G150" s="19" t="n"/>
    </row>
    <row r="151">
      <c r="A151" s="16" t="n"/>
      <c r="B151" s="17" t="inlineStr">
        <is>
          <t>pace</t>
        </is>
      </c>
      <c r="C151" s="18" t="inlineStr">
        <is>
          <t>0 = Steady  -&gt;  1 = Fast</t>
        </is>
      </c>
      <c r="D151" s="17" t="inlineStr">
        <is>
          <t>A</t>
        </is>
      </c>
      <c r="E151" s="12" t="n"/>
      <c r="F151" s="12" t="n"/>
      <c r="G151" s="19" t="n"/>
    </row>
    <row r="152">
      <c r="A152" s="16" t="n"/>
      <c r="B152" s="17" t="inlineStr">
        <is>
          <t>pace</t>
        </is>
      </c>
      <c r="C152" s="18" t="inlineStr">
        <is>
          <t>0 = Steady  -&gt;  1 = Fast</t>
        </is>
      </c>
      <c r="D152" s="17" t="inlineStr">
        <is>
          <t>B</t>
        </is>
      </c>
      <c r="E152" s="12" t="n"/>
      <c r="F152" s="12" t="n"/>
      <c r="G152" s="19" t="n"/>
    </row>
    <row r="153">
      <c r="A153" s="16" t="n"/>
      <c r="B153" s="17" t="inlineStr">
        <is>
          <t>collaboration</t>
        </is>
      </c>
      <c r="C153" s="18" t="inlineStr">
        <is>
          <t>0 = Solo  -&gt;  1 = Collective</t>
        </is>
      </c>
      <c r="D153" s="17" t="inlineStr">
        <is>
          <t>A</t>
        </is>
      </c>
      <c r="E153" s="12" t="n"/>
      <c r="F153" s="12" t="n"/>
      <c r="G153" s="19" t="n"/>
    </row>
    <row r="154">
      <c r="A154" s="16" t="n"/>
      <c r="B154" s="17" t="inlineStr">
        <is>
          <t>collaboration</t>
        </is>
      </c>
      <c r="C154" s="18" t="inlineStr">
        <is>
          <t>0 = Solo  -&gt;  1 = Collective</t>
        </is>
      </c>
      <c r="D154" s="17" t="inlineStr">
        <is>
          <t>B</t>
        </is>
      </c>
      <c r="E154" s="12" t="n"/>
      <c r="F154" s="12" t="n"/>
      <c r="G154" s="19" t="n"/>
    </row>
    <row r="155">
      <c r="A155" s="16" t="n"/>
      <c r="B155" s="17" t="inlineStr">
        <is>
          <t>feedback</t>
        </is>
      </c>
      <c r="C155" s="18" t="inlineStr">
        <is>
          <t>0 = Sparse/gentle  -&gt;  1 = Frequent/blunt</t>
        </is>
      </c>
      <c r="D155" s="17" t="inlineStr">
        <is>
          <t>A</t>
        </is>
      </c>
      <c r="E155" s="12" t="n"/>
      <c r="F155" s="12" t="n"/>
      <c r="G155" s="19" t="n"/>
    </row>
    <row r="156">
      <c r="A156" s="16" t="n"/>
      <c r="B156" s="17" t="inlineStr">
        <is>
          <t>feedback</t>
        </is>
      </c>
      <c r="C156" s="18" t="inlineStr">
        <is>
          <t>0 = Sparse/gentle  -&gt;  1 = Frequent/blunt</t>
        </is>
      </c>
      <c r="D156" s="17" t="inlineStr">
        <is>
          <t>B</t>
        </is>
      </c>
      <c r="E156" s="12" t="n"/>
      <c r="F156" s="12" t="n"/>
      <c r="G156" s="19" t="n"/>
    </row>
    <row r="157">
      <c r="A157" s="16" t="n"/>
      <c r="B157" s="17" t="inlineStr">
        <is>
          <t>innovation</t>
        </is>
      </c>
      <c r="C157" s="18" t="inlineStr">
        <is>
          <t>0 = Execute/optimize  -&gt;  1 = Invent/explore</t>
        </is>
      </c>
      <c r="D157" s="17" t="inlineStr">
        <is>
          <t>A</t>
        </is>
      </c>
      <c r="E157" s="12" t="n"/>
      <c r="F157" s="12" t="n"/>
      <c r="G157" s="19" t="n"/>
    </row>
    <row r="158">
      <c r="A158" s="16" t="n"/>
      <c r="B158" s="17" t="inlineStr">
        <is>
          <t>innovation</t>
        </is>
      </c>
      <c r="C158" s="18" t="inlineStr">
        <is>
          <t>0 = Execute/optimize  -&gt;  1 = Invent/explore</t>
        </is>
      </c>
      <c r="D158" s="17" t="inlineStr">
        <is>
          <t>B</t>
        </is>
      </c>
      <c r="E158" s="12" t="n"/>
      <c r="F158" s="12" t="n"/>
      <c r="G158" s="19" t="n"/>
    </row>
    <row r="159">
      <c r="A159" s="16" t="n"/>
      <c r="B159" s="17" t="inlineStr">
        <is>
          <t>decision</t>
        </is>
      </c>
      <c r="C159" s="18" t="inlineStr">
        <is>
          <t>0 = Intuition/judgement  -&gt;  1 = Data/analysis</t>
        </is>
      </c>
      <c r="D159" s="17" t="inlineStr">
        <is>
          <t>A</t>
        </is>
      </c>
      <c r="E159" s="12" t="n"/>
      <c r="F159" s="12" t="n"/>
      <c r="G159" s="19" t="n"/>
    </row>
    <row r="160">
      <c r="A160" s="16" t="n"/>
      <c r="B160" s="17" t="inlineStr">
        <is>
          <t>decision</t>
        </is>
      </c>
      <c r="C160" s="18" t="inlineStr">
        <is>
          <t>0 = Intuition/judgement  -&gt;  1 = Data/analysis</t>
        </is>
      </c>
      <c r="D160" s="17" t="inlineStr">
        <is>
          <t>B</t>
        </is>
      </c>
      <c r="E160" s="12" t="n"/>
      <c r="F160" s="12" t="n"/>
      <c r="G160" s="19" t="n"/>
    </row>
    <row r="161">
      <c r="A161" s="16" t="n"/>
      <c r="B161" s="17" t="inlineStr">
        <is>
          <t>autonomy</t>
        </is>
      </c>
      <c r="C161" s="18" t="inlineStr">
        <is>
          <t>0 = Directed  -&gt;  1 = Self-directed</t>
        </is>
      </c>
      <c r="D161" s="17" t="inlineStr">
        <is>
          <t>A</t>
        </is>
      </c>
      <c r="E161" s="12" t="n"/>
      <c r="F161" s="12" t="n"/>
      <c r="G161" s="19" t="n"/>
    </row>
    <row r="162">
      <c r="A162" s="16" t="n"/>
      <c r="B162" s="17" t="inlineStr">
        <is>
          <t>autonomy</t>
        </is>
      </c>
      <c r="C162" s="18" t="inlineStr">
        <is>
          <t>0 = Directed  -&gt;  1 = Self-directed</t>
        </is>
      </c>
      <c r="D162" s="17" t="inlineStr">
        <is>
          <t>B</t>
        </is>
      </c>
      <c r="E162" s="12" t="n"/>
      <c r="F162" s="12" t="n"/>
      <c r="G162" s="19" t="n"/>
    </row>
    <row r="163">
      <c r="A163" s="16" t="n"/>
      <c r="B163" s="17" t="inlineStr">
        <is>
          <t>pace</t>
        </is>
      </c>
      <c r="C163" s="18" t="inlineStr">
        <is>
          <t>0 = Steady  -&gt;  1 = Fast</t>
        </is>
      </c>
      <c r="D163" s="17" t="inlineStr">
        <is>
          <t>A</t>
        </is>
      </c>
      <c r="E163" s="12" t="n"/>
      <c r="F163" s="12" t="n"/>
      <c r="G163" s="19" t="n"/>
    </row>
    <row r="164">
      <c r="A164" s="16" t="n"/>
      <c r="B164" s="17" t="inlineStr">
        <is>
          <t>pace</t>
        </is>
      </c>
      <c r="C164" s="18" t="inlineStr">
        <is>
          <t>0 = Steady  -&gt;  1 = Fast</t>
        </is>
      </c>
      <c r="D164" s="17" t="inlineStr">
        <is>
          <t>B</t>
        </is>
      </c>
      <c r="E164" s="12" t="n"/>
      <c r="F164" s="12" t="n"/>
      <c r="G164" s="19" t="n"/>
    </row>
    <row r="165">
      <c r="A165" s="16" t="n"/>
      <c r="B165" s="17" t="inlineStr">
        <is>
          <t>collaboration</t>
        </is>
      </c>
      <c r="C165" s="18" t="inlineStr">
        <is>
          <t>0 = Solo  -&gt;  1 = Collective</t>
        </is>
      </c>
      <c r="D165" s="17" t="inlineStr">
        <is>
          <t>A</t>
        </is>
      </c>
      <c r="E165" s="12" t="n"/>
      <c r="F165" s="12" t="n"/>
      <c r="G165" s="19" t="n"/>
    </row>
    <row r="166">
      <c r="A166" s="16" t="n"/>
      <c r="B166" s="17" t="inlineStr">
        <is>
          <t>collaboration</t>
        </is>
      </c>
      <c r="C166" s="18" t="inlineStr">
        <is>
          <t>0 = Solo  -&gt;  1 = Collective</t>
        </is>
      </c>
      <c r="D166" s="17" t="inlineStr">
        <is>
          <t>B</t>
        </is>
      </c>
      <c r="E166" s="12" t="n"/>
      <c r="F166" s="12" t="n"/>
      <c r="G166" s="19" t="n"/>
    </row>
    <row r="167">
      <c r="A167" s="16" t="n"/>
      <c r="B167" s="17" t="inlineStr">
        <is>
          <t>feedback</t>
        </is>
      </c>
      <c r="C167" s="18" t="inlineStr">
        <is>
          <t>0 = Sparse/gentle  -&gt;  1 = Frequent/blunt</t>
        </is>
      </c>
      <c r="D167" s="17" t="inlineStr">
        <is>
          <t>A</t>
        </is>
      </c>
      <c r="E167" s="12" t="n"/>
      <c r="F167" s="12" t="n"/>
      <c r="G167" s="19" t="n"/>
    </row>
    <row r="168">
      <c r="A168" s="16" t="n"/>
      <c r="B168" s="17" t="inlineStr">
        <is>
          <t>feedback</t>
        </is>
      </c>
      <c r="C168" s="18" t="inlineStr">
        <is>
          <t>0 = Sparse/gentle  -&gt;  1 = Frequent/blunt</t>
        </is>
      </c>
      <c r="D168" s="17" t="inlineStr">
        <is>
          <t>B</t>
        </is>
      </c>
      <c r="E168" s="12" t="n"/>
      <c r="F168" s="12" t="n"/>
      <c r="G168" s="19" t="n"/>
    </row>
    <row r="169">
      <c r="A169" s="16" t="n"/>
      <c r="B169" s="17" t="inlineStr">
        <is>
          <t>innovation</t>
        </is>
      </c>
      <c r="C169" s="18" t="inlineStr">
        <is>
          <t>0 = Execute/optimize  -&gt;  1 = Invent/explore</t>
        </is>
      </c>
      <c r="D169" s="17" t="inlineStr">
        <is>
          <t>A</t>
        </is>
      </c>
      <c r="E169" s="12" t="n"/>
      <c r="F169" s="12" t="n"/>
      <c r="G169" s="19" t="n"/>
    </row>
    <row r="170">
      <c r="A170" s="16" t="n"/>
      <c r="B170" s="17" t="inlineStr">
        <is>
          <t>innovation</t>
        </is>
      </c>
      <c r="C170" s="18" t="inlineStr">
        <is>
          <t>0 = Execute/optimize  -&gt;  1 = Invent/explore</t>
        </is>
      </c>
      <c r="D170" s="17" t="inlineStr">
        <is>
          <t>B</t>
        </is>
      </c>
      <c r="E170" s="12" t="n"/>
      <c r="F170" s="12" t="n"/>
      <c r="G170" s="19" t="n"/>
    </row>
    <row r="171">
      <c r="A171" s="16" t="n"/>
      <c r="B171" s="17" t="inlineStr">
        <is>
          <t>decision</t>
        </is>
      </c>
      <c r="C171" s="18" t="inlineStr">
        <is>
          <t>0 = Intuition/judgement  -&gt;  1 = Data/analysis</t>
        </is>
      </c>
      <c r="D171" s="17" t="inlineStr">
        <is>
          <t>A</t>
        </is>
      </c>
      <c r="E171" s="12" t="n"/>
      <c r="F171" s="12" t="n"/>
      <c r="G171" s="19" t="n"/>
    </row>
    <row r="172">
      <c r="A172" s="16" t="n"/>
      <c r="B172" s="17" t="inlineStr">
        <is>
          <t>decision</t>
        </is>
      </c>
      <c r="C172" s="18" t="inlineStr">
        <is>
          <t>0 = Intuition/judgement  -&gt;  1 = Data/analysis</t>
        </is>
      </c>
      <c r="D172" s="17" t="inlineStr">
        <is>
          <t>B</t>
        </is>
      </c>
      <c r="E172" s="12" t="n"/>
      <c r="F172" s="12" t="n"/>
      <c r="G172" s="19" t="n"/>
    </row>
    <row r="173">
      <c r="A173" s="16" t="n"/>
      <c r="B173" s="17" t="inlineStr">
        <is>
          <t>autonomy</t>
        </is>
      </c>
      <c r="C173" s="18" t="inlineStr">
        <is>
          <t>0 = Directed  -&gt;  1 = Self-directed</t>
        </is>
      </c>
      <c r="D173" s="17" t="inlineStr">
        <is>
          <t>A</t>
        </is>
      </c>
      <c r="E173" s="12" t="n"/>
      <c r="F173" s="12" t="n"/>
      <c r="G173" s="19" t="n"/>
    </row>
    <row r="174">
      <c r="A174" s="16" t="n"/>
      <c r="B174" s="17" t="inlineStr">
        <is>
          <t>autonomy</t>
        </is>
      </c>
      <c r="C174" s="18" t="inlineStr">
        <is>
          <t>0 = Directed  -&gt;  1 = Self-directed</t>
        </is>
      </c>
      <c r="D174" s="17" t="inlineStr">
        <is>
          <t>B</t>
        </is>
      </c>
      <c r="E174" s="12" t="n"/>
      <c r="F174" s="12" t="n"/>
      <c r="G174" s="19" t="n"/>
    </row>
    <row r="175">
      <c r="A175" s="16" t="n"/>
      <c r="B175" s="17" t="inlineStr">
        <is>
          <t>pace</t>
        </is>
      </c>
      <c r="C175" s="18" t="inlineStr">
        <is>
          <t>0 = Steady  -&gt;  1 = Fast</t>
        </is>
      </c>
      <c r="D175" s="17" t="inlineStr">
        <is>
          <t>A</t>
        </is>
      </c>
      <c r="E175" s="12" t="n"/>
      <c r="F175" s="12" t="n"/>
      <c r="G175" s="19" t="n"/>
    </row>
    <row r="176">
      <c r="A176" s="16" t="n"/>
      <c r="B176" s="17" t="inlineStr">
        <is>
          <t>pace</t>
        </is>
      </c>
      <c r="C176" s="18" t="inlineStr">
        <is>
          <t>0 = Steady  -&gt;  1 = Fast</t>
        </is>
      </c>
      <c r="D176" s="17" t="inlineStr">
        <is>
          <t>B</t>
        </is>
      </c>
      <c r="E176" s="12" t="n"/>
      <c r="F176" s="12" t="n"/>
      <c r="G176" s="19" t="n"/>
    </row>
    <row r="177">
      <c r="A177" s="16" t="n"/>
      <c r="B177" s="17" t="inlineStr">
        <is>
          <t>collaboration</t>
        </is>
      </c>
      <c r="C177" s="18" t="inlineStr">
        <is>
          <t>0 = Solo  -&gt;  1 = Collective</t>
        </is>
      </c>
      <c r="D177" s="17" t="inlineStr">
        <is>
          <t>A</t>
        </is>
      </c>
      <c r="E177" s="12" t="n"/>
      <c r="F177" s="12" t="n"/>
      <c r="G177" s="19" t="n"/>
    </row>
    <row r="178">
      <c r="A178" s="16" t="n"/>
      <c r="B178" s="17" t="inlineStr">
        <is>
          <t>collaboration</t>
        </is>
      </c>
      <c r="C178" s="18" t="inlineStr">
        <is>
          <t>0 = Solo  -&gt;  1 = Collective</t>
        </is>
      </c>
      <c r="D178" s="17" t="inlineStr">
        <is>
          <t>B</t>
        </is>
      </c>
      <c r="E178" s="12" t="n"/>
      <c r="F178" s="12" t="n"/>
      <c r="G178" s="19" t="n"/>
    </row>
    <row r="179">
      <c r="A179" s="16" t="n"/>
      <c r="B179" s="17" t="inlineStr">
        <is>
          <t>feedback</t>
        </is>
      </c>
      <c r="C179" s="18" t="inlineStr">
        <is>
          <t>0 = Sparse/gentle  -&gt;  1 = Frequent/blunt</t>
        </is>
      </c>
      <c r="D179" s="17" t="inlineStr">
        <is>
          <t>A</t>
        </is>
      </c>
      <c r="E179" s="12" t="n"/>
      <c r="F179" s="12" t="n"/>
      <c r="G179" s="19" t="n"/>
    </row>
    <row r="180">
      <c r="A180" s="16" t="n"/>
      <c r="B180" s="17" t="inlineStr">
        <is>
          <t>feedback</t>
        </is>
      </c>
      <c r="C180" s="18" t="inlineStr">
        <is>
          <t>0 = Sparse/gentle  -&gt;  1 = Frequent/blunt</t>
        </is>
      </c>
      <c r="D180" s="17" t="inlineStr">
        <is>
          <t>B</t>
        </is>
      </c>
      <c r="E180" s="12" t="n"/>
      <c r="F180" s="12" t="n"/>
      <c r="G180" s="19" t="n"/>
    </row>
    <row r="181">
      <c r="A181" s="16" t="n"/>
      <c r="B181" s="17" t="inlineStr">
        <is>
          <t>innovation</t>
        </is>
      </c>
      <c r="C181" s="18" t="inlineStr">
        <is>
          <t>0 = Execute/optimize  -&gt;  1 = Invent/explore</t>
        </is>
      </c>
      <c r="D181" s="17" t="inlineStr">
        <is>
          <t>A</t>
        </is>
      </c>
      <c r="E181" s="12" t="n"/>
      <c r="F181" s="12" t="n"/>
      <c r="G181" s="19" t="n"/>
    </row>
    <row r="182">
      <c r="A182" s="16" t="n"/>
      <c r="B182" s="17" t="inlineStr">
        <is>
          <t>innovation</t>
        </is>
      </c>
      <c r="C182" s="18" t="inlineStr">
        <is>
          <t>0 = Execute/optimize  -&gt;  1 = Invent/explore</t>
        </is>
      </c>
      <c r="D182" s="17" t="inlineStr">
        <is>
          <t>B</t>
        </is>
      </c>
      <c r="E182" s="12" t="n"/>
      <c r="F182" s="12" t="n"/>
      <c r="G182" s="19" t="n"/>
    </row>
    <row r="183">
      <c r="A183" s="16" t="n"/>
      <c r="B183" s="17" t="inlineStr">
        <is>
          <t>decision</t>
        </is>
      </c>
      <c r="C183" s="18" t="inlineStr">
        <is>
          <t>0 = Intuition/judgement  -&gt;  1 = Data/analysis</t>
        </is>
      </c>
      <c r="D183" s="17" t="inlineStr">
        <is>
          <t>A</t>
        </is>
      </c>
      <c r="E183" s="12" t="n"/>
      <c r="F183" s="12" t="n"/>
      <c r="G183" s="19" t="n"/>
    </row>
    <row r="184">
      <c r="A184" s="16" t="n"/>
      <c r="B184" s="17" t="inlineStr">
        <is>
          <t>decision</t>
        </is>
      </c>
      <c r="C184" s="18" t="inlineStr">
        <is>
          <t>0 = Intuition/judgement  -&gt;  1 = Data/analysis</t>
        </is>
      </c>
      <c r="D184" s="17" t="inlineStr">
        <is>
          <t>B</t>
        </is>
      </c>
      <c r="E184" s="12" t="n"/>
      <c r="F184" s="12" t="n"/>
      <c r="G184" s="19" t="n"/>
    </row>
    <row r="185">
      <c r="A185" s="16" t="n"/>
      <c r="B185" s="17" t="inlineStr">
        <is>
          <t>autonomy</t>
        </is>
      </c>
      <c r="C185" s="18" t="inlineStr">
        <is>
          <t>0 = Directed  -&gt;  1 = Self-directed</t>
        </is>
      </c>
      <c r="D185" s="17" t="inlineStr">
        <is>
          <t>A</t>
        </is>
      </c>
      <c r="E185" s="12" t="n"/>
      <c r="F185" s="12" t="n"/>
      <c r="G185" s="19" t="n"/>
    </row>
    <row r="186">
      <c r="A186" s="16" t="n"/>
      <c r="B186" s="17" t="inlineStr">
        <is>
          <t>autonomy</t>
        </is>
      </c>
      <c r="C186" s="18" t="inlineStr">
        <is>
          <t>0 = Directed  -&gt;  1 = Self-directed</t>
        </is>
      </c>
      <c r="D186" s="17" t="inlineStr">
        <is>
          <t>B</t>
        </is>
      </c>
      <c r="E186" s="12" t="n"/>
      <c r="F186" s="12" t="n"/>
      <c r="G186" s="19" t="n"/>
    </row>
    <row r="187">
      <c r="A187" s="16" t="n"/>
      <c r="B187" s="17" t="inlineStr">
        <is>
          <t>pace</t>
        </is>
      </c>
      <c r="C187" s="18" t="inlineStr">
        <is>
          <t>0 = Steady  -&gt;  1 = Fast</t>
        </is>
      </c>
      <c r="D187" s="17" t="inlineStr">
        <is>
          <t>A</t>
        </is>
      </c>
      <c r="E187" s="12" t="n"/>
      <c r="F187" s="12" t="n"/>
      <c r="G187" s="19" t="n"/>
    </row>
    <row r="188">
      <c r="A188" s="16" t="n"/>
      <c r="B188" s="17" t="inlineStr">
        <is>
          <t>pace</t>
        </is>
      </c>
      <c r="C188" s="18" t="inlineStr">
        <is>
          <t>0 = Steady  -&gt;  1 = Fast</t>
        </is>
      </c>
      <c r="D188" s="17" t="inlineStr">
        <is>
          <t>B</t>
        </is>
      </c>
      <c r="E188" s="12" t="n"/>
      <c r="F188" s="12" t="n"/>
      <c r="G188" s="19" t="n"/>
    </row>
    <row r="189">
      <c r="A189" s="16" t="n"/>
      <c r="B189" s="17" t="inlineStr">
        <is>
          <t>collaboration</t>
        </is>
      </c>
      <c r="C189" s="18" t="inlineStr">
        <is>
          <t>0 = Solo  -&gt;  1 = Collective</t>
        </is>
      </c>
      <c r="D189" s="17" t="inlineStr">
        <is>
          <t>A</t>
        </is>
      </c>
      <c r="E189" s="12" t="n"/>
      <c r="F189" s="12" t="n"/>
      <c r="G189" s="19" t="n"/>
    </row>
    <row r="190">
      <c r="A190" s="16" t="n"/>
      <c r="B190" s="17" t="inlineStr">
        <is>
          <t>collaboration</t>
        </is>
      </c>
      <c r="C190" s="18" t="inlineStr">
        <is>
          <t>0 = Solo  -&gt;  1 = Collective</t>
        </is>
      </c>
      <c r="D190" s="17" t="inlineStr">
        <is>
          <t>B</t>
        </is>
      </c>
      <c r="E190" s="12" t="n"/>
      <c r="F190" s="12" t="n"/>
      <c r="G190" s="19" t="n"/>
    </row>
    <row r="191">
      <c r="A191" s="16" t="n"/>
      <c r="B191" s="17" t="inlineStr">
        <is>
          <t>feedback</t>
        </is>
      </c>
      <c r="C191" s="18" t="inlineStr">
        <is>
          <t>0 = Sparse/gentle  -&gt;  1 = Frequent/blunt</t>
        </is>
      </c>
      <c r="D191" s="17" t="inlineStr">
        <is>
          <t>A</t>
        </is>
      </c>
      <c r="E191" s="12" t="n"/>
      <c r="F191" s="12" t="n"/>
      <c r="G191" s="19" t="n"/>
    </row>
    <row r="192">
      <c r="A192" s="16" t="n"/>
      <c r="B192" s="17" t="inlineStr">
        <is>
          <t>feedback</t>
        </is>
      </c>
      <c r="C192" s="18" t="inlineStr">
        <is>
          <t>0 = Sparse/gentle  -&gt;  1 = Frequent/blunt</t>
        </is>
      </c>
      <c r="D192" s="17" t="inlineStr">
        <is>
          <t>B</t>
        </is>
      </c>
      <c r="E192" s="12" t="n"/>
      <c r="F192" s="12" t="n"/>
      <c r="G192" s="19" t="n"/>
    </row>
    <row r="193">
      <c r="A193" s="16" t="n"/>
      <c r="B193" s="17" t="inlineStr">
        <is>
          <t>innovation</t>
        </is>
      </c>
      <c r="C193" s="18" t="inlineStr">
        <is>
          <t>0 = Execute/optimize  -&gt;  1 = Invent/explore</t>
        </is>
      </c>
      <c r="D193" s="17" t="inlineStr">
        <is>
          <t>A</t>
        </is>
      </c>
      <c r="E193" s="12" t="n"/>
      <c r="F193" s="12" t="n"/>
      <c r="G193" s="19" t="n"/>
    </row>
    <row r="194">
      <c r="A194" s="16" t="n"/>
      <c r="B194" s="17" t="inlineStr">
        <is>
          <t>innovation</t>
        </is>
      </c>
      <c r="C194" s="18" t="inlineStr">
        <is>
          <t>0 = Execute/optimize  -&gt;  1 = Invent/explore</t>
        </is>
      </c>
      <c r="D194" s="17" t="inlineStr">
        <is>
          <t>B</t>
        </is>
      </c>
      <c r="E194" s="12" t="n"/>
      <c r="F194" s="12" t="n"/>
      <c r="G194" s="19" t="n"/>
    </row>
    <row r="195">
      <c r="A195" s="16" t="n"/>
      <c r="B195" s="17" t="inlineStr">
        <is>
          <t>decision</t>
        </is>
      </c>
      <c r="C195" s="18" t="inlineStr">
        <is>
          <t>0 = Intuition/judgement  -&gt;  1 = Data/analysis</t>
        </is>
      </c>
      <c r="D195" s="17" t="inlineStr">
        <is>
          <t>A</t>
        </is>
      </c>
      <c r="E195" s="12" t="n"/>
      <c r="F195" s="12" t="n"/>
      <c r="G195" s="19" t="n"/>
    </row>
    <row r="196">
      <c r="A196" s="16" t="n"/>
      <c r="B196" s="17" t="inlineStr">
        <is>
          <t>decision</t>
        </is>
      </c>
      <c r="C196" s="18" t="inlineStr">
        <is>
          <t>0 = Intuition/judgement  -&gt;  1 = Data/analysis</t>
        </is>
      </c>
      <c r="D196" s="17" t="inlineStr">
        <is>
          <t>B</t>
        </is>
      </c>
      <c r="E196" s="12" t="n"/>
      <c r="F196" s="12" t="n"/>
      <c r="G196" s="19" t="n"/>
    </row>
    <row r="197">
      <c r="A197" s="16" t="n"/>
      <c r="B197" s="17" t="inlineStr">
        <is>
          <t>autonomy</t>
        </is>
      </c>
      <c r="C197" s="18" t="inlineStr">
        <is>
          <t>0 = Directed  -&gt;  1 = Self-directed</t>
        </is>
      </c>
      <c r="D197" s="17" t="inlineStr">
        <is>
          <t>A</t>
        </is>
      </c>
      <c r="E197" s="12" t="n"/>
      <c r="F197" s="12" t="n"/>
      <c r="G197" s="19" t="n"/>
    </row>
    <row r="198">
      <c r="A198" s="16" t="n"/>
      <c r="B198" s="17" t="inlineStr">
        <is>
          <t>autonomy</t>
        </is>
      </c>
      <c r="C198" s="18" t="inlineStr">
        <is>
          <t>0 = Directed  -&gt;  1 = Self-directed</t>
        </is>
      </c>
      <c r="D198" s="17" t="inlineStr">
        <is>
          <t>B</t>
        </is>
      </c>
      <c r="E198" s="12" t="n"/>
      <c r="F198" s="12" t="n"/>
      <c r="G198" s="19" t="n"/>
    </row>
    <row r="199">
      <c r="A199" s="16" t="n"/>
      <c r="B199" s="17" t="inlineStr">
        <is>
          <t>pace</t>
        </is>
      </c>
      <c r="C199" s="18" t="inlineStr">
        <is>
          <t>0 = Steady  -&gt;  1 = Fast</t>
        </is>
      </c>
      <c r="D199" s="17" t="inlineStr">
        <is>
          <t>A</t>
        </is>
      </c>
      <c r="E199" s="12" t="n"/>
      <c r="F199" s="12" t="n"/>
      <c r="G199" s="19" t="n"/>
    </row>
    <row r="200">
      <c r="A200" s="16" t="n"/>
      <c r="B200" s="17" t="inlineStr">
        <is>
          <t>pace</t>
        </is>
      </c>
      <c r="C200" s="18" t="inlineStr">
        <is>
          <t>0 = Steady  -&gt;  1 = Fast</t>
        </is>
      </c>
      <c r="D200" s="17" t="inlineStr">
        <is>
          <t>B</t>
        </is>
      </c>
      <c r="E200" s="12" t="n"/>
      <c r="F200" s="12" t="n"/>
      <c r="G200" s="19" t="n"/>
    </row>
    <row r="201">
      <c r="A201" s="16" t="n"/>
      <c r="B201" s="17" t="inlineStr">
        <is>
          <t>collaboration</t>
        </is>
      </c>
      <c r="C201" s="18" t="inlineStr">
        <is>
          <t>0 = Solo  -&gt;  1 = Collective</t>
        </is>
      </c>
      <c r="D201" s="17" t="inlineStr">
        <is>
          <t>A</t>
        </is>
      </c>
      <c r="E201" s="12" t="n"/>
      <c r="F201" s="12" t="n"/>
      <c r="G201" s="19" t="n"/>
    </row>
    <row r="202">
      <c r="A202" s="16" t="n"/>
      <c r="B202" s="17" t="inlineStr">
        <is>
          <t>collaboration</t>
        </is>
      </c>
      <c r="C202" s="18" t="inlineStr">
        <is>
          <t>0 = Solo  -&gt;  1 = Collective</t>
        </is>
      </c>
      <c r="D202" s="17" t="inlineStr">
        <is>
          <t>B</t>
        </is>
      </c>
      <c r="E202" s="12" t="n"/>
      <c r="F202" s="12" t="n"/>
      <c r="G202" s="19" t="n"/>
    </row>
    <row r="203">
      <c r="A203" s="16" t="n"/>
      <c r="B203" s="17" t="inlineStr">
        <is>
          <t>feedback</t>
        </is>
      </c>
      <c r="C203" s="18" t="inlineStr">
        <is>
          <t>0 = Sparse/gentle  -&gt;  1 = Frequent/blunt</t>
        </is>
      </c>
      <c r="D203" s="17" t="inlineStr">
        <is>
          <t>A</t>
        </is>
      </c>
      <c r="E203" s="12" t="n"/>
      <c r="F203" s="12" t="n"/>
      <c r="G203" s="19" t="n"/>
    </row>
    <row r="204">
      <c r="A204" s="16" t="n"/>
      <c r="B204" s="17" t="inlineStr">
        <is>
          <t>feedback</t>
        </is>
      </c>
      <c r="C204" s="18" t="inlineStr">
        <is>
          <t>0 = Sparse/gentle  -&gt;  1 = Frequent/blunt</t>
        </is>
      </c>
      <c r="D204" s="17" t="inlineStr">
        <is>
          <t>B</t>
        </is>
      </c>
      <c r="E204" s="12" t="n"/>
      <c r="F204" s="12" t="n"/>
      <c r="G204" s="19" t="n"/>
    </row>
    <row r="205">
      <c r="A205" s="16" t="n"/>
      <c r="B205" s="17" t="inlineStr">
        <is>
          <t>innovation</t>
        </is>
      </c>
      <c r="C205" s="18" t="inlineStr">
        <is>
          <t>0 = Execute/optimize  -&gt;  1 = Invent/explore</t>
        </is>
      </c>
      <c r="D205" s="17" t="inlineStr">
        <is>
          <t>A</t>
        </is>
      </c>
      <c r="E205" s="12" t="n"/>
      <c r="F205" s="12" t="n"/>
      <c r="G205" s="19" t="n"/>
    </row>
    <row r="206">
      <c r="A206" s="16" t="n"/>
      <c r="B206" s="17" t="inlineStr">
        <is>
          <t>innovation</t>
        </is>
      </c>
      <c r="C206" s="18" t="inlineStr">
        <is>
          <t>0 = Execute/optimize  -&gt;  1 = Invent/explore</t>
        </is>
      </c>
      <c r="D206" s="17" t="inlineStr">
        <is>
          <t>B</t>
        </is>
      </c>
      <c r="E206" s="12" t="n"/>
      <c r="F206" s="12" t="n"/>
      <c r="G206" s="19" t="n"/>
    </row>
    <row r="207">
      <c r="A207" s="16" t="n"/>
      <c r="B207" s="17" t="inlineStr">
        <is>
          <t>decision</t>
        </is>
      </c>
      <c r="C207" s="18" t="inlineStr">
        <is>
          <t>0 = Intuition/judgement  -&gt;  1 = Data/analysis</t>
        </is>
      </c>
      <c r="D207" s="17" t="inlineStr">
        <is>
          <t>A</t>
        </is>
      </c>
      <c r="E207" s="12" t="n"/>
      <c r="F207" s="12" t="n"/>
      <c r="G207" s="19" t="n"/>
    </row>
    <row r="208">
      <c r="A208" s="16" t="n"/>
      <c r="B208" s="17" t="inlineStr">
        <is>
          <t>decision</t>
        </is>
      </c>
      <c r="C208" s="18" t="inlineStr">
        <is>
          <t>0 = Intuition/judgement  -&gt;  1 = Data/analysis</t>
        </is>
      </c>
      <c r="D208" s="17" t="inlineStr">
        <is>
          <t>B</t>
        </is>
      </c>
      <c r="E208" s="12" t="n"/>
      <c r="F208" s="12" t="n"/>
      <c r="G208" s="19" t="n"/>
    </row>
    <row r="209">
      <c r="A209" s="16" t="n"/>
      <c r="B209" s="17" t="inlineStr">
        <is>
          <t>autonomy</t>
        </is>
      </c>
      <c r="C209" s="18" t="inlineStr">
        <is>
          <t>0 = Directed  -&gt;  1 = Self-directed</t>
        </is>
      </c>
      <c r="D209" s="17" t="inlineStr">
        <is>
          <t>A</t>
        </is>
      </c>
      <c r="E209" s="12" t="n"/>
      <c r="F209" s="12" t="n"/>
      <c r="G209" s="19" t="n"/>
    </row>
    <row r="210">
      <c r="A210" s="16" t="n"/>
      <c r="B210" s="17" t="inlineStr">
        <is>
          <t>autonomy</t>
        </is>
      </c>
      <c r="C210" s="18" t="inlineStr">
        <is>
          <t>0 = Directed  -&gt;  1 = Self-directed</t>
        </is>
      </c>
      <c r="D210" s="17" t="inlineStr">
        <is>
          <t>B</t>
        </is>
      </c>
      <c r="E210" s="12" t="n"/>
      <c r="F210" s="12" t="n"/>
      <c r="G210" s="19" t="n"/>
    </row>
    <row r="211">
      <c r="A211" s="16" t="n"/>
      <c r="B211" s="17" t="inlineStr">
        <is>
          <t>pace</t>
        </is>
      </c>
      <c r="C211" s="18" t="inlineStr">
        <is>
          <t>0 = Steady  -&gt;  1 = Fast</t>
        </is>
      </c>
      <c r="D211" s="17" t="inlineStr">
        <is>
          <t>A</t>
        </is>
      </c>
      <c r="E211" s="12" t="n"/>
      <c r="F211" s="12" t="n"/>
      <c r="G211" s="19" t="n"/>
    </row>
    <row r="212">
      <c r="A212" s="16" t="n"/>
      <c r="B212" s="17" t="inlineStr">
        <is>
          <t>pace</t>
        </is>
      </c>
      <c r="C212" s="18" t="inlineStr">
        <is>
          <t>0 = Steady  -&gt;  1 = Fast</t>
        </is>
      </c>
      <c r="D212" s="17" t="inlineStr">
        <is>
          <t>B</t>
        </is>
      </c>
      <c r="E212" s="12" t="n"/>
      <c r="F212" s="12" t="n"/>
      <c r="G212" s="19" t="n"/>
    </row>
    <row r="213">
      <c r="A213" s="16" t="n"/>
      <c r="B213" s="17" t="inlineStr">
        <is>
          <t>collaboration</t>
        </is>
      </c>
      <c r="C213" s="18" t="inlineStr">
        <is>
          <t>0 = Solo  -&gt;  1 = Collective</t>
        </is>
      </c>
      <c r="D213" s="17" t="inlineStr">
        <is>
          <t>A</t>
        </is>
      </c>
      <c r="E213" s="12" t="n"/>
      <c r="F213" s="12" t="n"/>
      <c r="G213" s="19" t="n"/>
    </row>
    <row r="214">
      <c r="A214" s="16" t="n"/>
      <c r="B214" s="17" t="inlineStr">
        <is>
          <t>collaboration</t>
        </is>
      </c>
      <c r="C214" s="18" t="inlineStr">
        <is>
          <t>0 = Solo  -&gt;  1 = Collective</t>
        </is>
      </c>
      <c r="D214" s="17" t="inlineStr">
        <is>
          <t>B</t>
        </is>
      </c>
      <c r="E214" s="12" t="n"/>
      <c r="F214" s="12" t="n"/>
      <c r="G214" s="19" t="n"/>
    </row>
    <row r="215">
      <c r="A215" s="16" t="n"/>
      <c r="B215" s="17" t="inlineStr">
        <is>
          <t>feedback</t>
        </is>
      </c>
      <c r="C215" s="18" t="inlineStr">
        <is>
          <t>0 = Sparse/gentle  -&gt;  1 = Frequent/blunt</t>
        </is>
      </c>
      <c r="D215" s="17" t="inlineStr">
        <is>
          <t>A</t>
        </is>
      </c>
      <c r="E215" s="12" t="n"/>
      <c r="F215" s="12" t="n"/>
      <c r="G215" s="19" t="n"/>
    </row>
    <row r="216">
      <c r="A216" s="16" t="n"/>
      <c r="B216" s="17" t="inlineStr">
        <is>
          <t>feedback</t>
        </is>
      </c>
      <c r="C216" s="18" t="inlineStr">
        <is>
          <t>0 = Sparse/gentle  -&gt;  1 = Frequent/blunt</t>
        </is>
      </c>
      <c r="D216" s="17" t="inlineStr">
        <is>
          <t>B</t>
        </is>
      </c>
      <c r="E216" s="12" t="n"/>
      <c r="F216" s="12" t="n"/>
      <c r="G216" s="19" t="n"/>
    </row>
    <row r="217">
      <c r="A217" s="16" t="n"/>
      <c r="B217" s="17" t="inlineStr">
        <is>
          <t>innovation</t>
        </is>
      </c>
      <c r="C217" s="18" t="inlineStr">
        <is>
          <t>0 = Execute/optimize  -&gt;  1 = Invent/explore</t>
        </is>
      </c>
      <c r="D217" s="17" t="inlineStr">
        <is>
          <t>A</t>
        </is>
      </c>
      <c r="E217" s="12" t="n"/>
      <c r="F217" s="12" t="n"/>
      <c r="G217" s="19" t="n"/>
    </row>
    <row r="218">
      <c r="A218" s="16" t="n"/>
      <c r="B218" s="17" t="inlineStr">
        <is>
          <t>innovation</t>
        </is>
      </c>
      <c r="C218" s="18" t="inlineStr">
        <is>
          <t>0 = Execute/optimize  -&gt;  1 = Invent/explore</t>
        </is>
      </c>
      <c r="D218" s="17" t="inlineStr">
        <is>
          <t>B</t>
        </is>
      </c>
      <c r="E218" s="12" t="n"/>
      <c r="F218" s="12" t="n"/>
      <c r="G218" s="19" t="n"/>
    </row>
    <row r="219">
      <c r="A219" s="16" t="n"/>
      <c r="B219" s="17" t="inlineStr">
        <is>
          <t>decision</t>
        </is>
      </c>
      <c r="C219" s="18" t="inlineStr">
        <is>
          <t>0 = Intuition/judgement  -&gt;  1 = Data/analysis</t>
        </is>
      </c>
      <c r="D219" s="17" t="inlineStr">
        <is>
          <t>A</t>
        </is>
      </c>
      <c r="E219" s="12" t="n"/>
      <c r="F219" s="12" t="n"/>
      <c r="G219" s="19" t="n"/>
    </row>
    <row r="220">
      <c r="A220" s="16" t="n"/>
      <c r="B220" s="17" t="inlineStr">
        <is>
          <t>decision</t>
        </is>
      </c>
      <c r="C220" s="18" t="inlineStr">
        <is>
          <t>0 = Intuition/judgement  -&gt;  1 = Data/analysis</t>
        </is>
      </c>
      <c r="D220" s="17" t="inlineStr">
        <is>
          <t>B</t>
        </is>
      </c>
      <c r="E220" s="12" t="n"/>
      <c r="F220" s="12" t="n"/>
      <c r="G220" s="19" t="n"/>
    </row>
    <row r="221">
      <c r="A221" s="16" t="n"/>
      <c r="B221" s="17" t="inlineStr">
        <is>
          <t>autonomy</t>
        </is>
      </c>
      <c r="C221" s="18" t="inlineStr">
        <is>
          <t>0 = Directed  -&gt;  1 = Self-directed</t>
        </is>
      </c>
      <c r="D221" s="17" t="inlineStr">
        <is>
          <t>A</t>
        </is>
      </c>
      <c r="E221" s="12" t="n"/>
      <c r="F221" s="12" t="n"/>
      <c r="G221" s="19" t="n"/>
    </row>
    <row r="222">
      <c r="A222" s="16" t="n"/>
      <c r="B222" s="17" t="inlineStr">
        <is>
          <t>autonomy</t>
        </is>
      </c>
      <c r="C222" s="18" t="inlineStr">
        <is>
          <t>0 = Directed  -&gt;  1 = Self-directed</t>
        </is>
      </c>
      <c r="D222" s="17" t="inlineStr">
        <is>
          <t>B</t>
        </is>
      </c>
      <c r="E222" s="12" t="n"/>
      <c r="F222" s="12" t="n"/>
      <c r="G222" s="19" t="n"/>
    </row>
    <row r="223">
      <c r="A223" s="16" t="n"/>
      <c r="B223" s="17" t="inlineStr">
        <is>
          <t>pace</t>
        </is>
      </c>
      <c r="C223" s="18" t="inlineStr">
        <is>
          <t>0 = Steady  -&gt;  1 = Fast</t>
        </is>
      </c>
      <c r="D223" s="17" t="inlineStr">
        <is>
          <t>A</t>
        </is>
      </c>
      <c r="E223" s="12" t="n"/>
      <c r="F223" s="12" t="n"/>
      <c r="G223" s="19" t="n"/>
    </row>
    <row r="224">
      <c r="A224" s="16" t="n"/>
      <c r="B224" s="17" t="inlineStr">
        <is>
          <t>pace</t>
        </is>
      </c>
      <c r="C224" s="18" t="inlineStr">
        <is>
          <t>0 = Steady  -&gt;  1 = Fast</t>
        </is>
      </c>
      <c r="D224" s="17" t="inlineStr">
        <is>
          <t>B</t>
        </is>
      </c>
      <c r="E224" s="12" t="n"/>
      <c r="F224" s="12" t="n"/>
      <c r="G224" s="19" t="n"/>
    </row>
    <row r="225">
      <c r="A225" s="16" t="n"/>
      <c r="B225" s="17" t="inlineStr">
        <is>
          <t>collaboration</t>
        </is>
      </c>
      <c r="C225" s="18" t="inlineStr">
        <is>
          <t>0 = Solo  -&gt;  1 = Collective</t>
        </is>
      </c>
      <c r="D225" s="17" t="inlineStr">
        <is>
          <t>A</t>
        </is>
      </c>
      <c r="E225" s="12" t="n"/>
      <c r="F225" s="12" t="n"/>
      <c r="G225" s="19" t="n"/>
    </row>
    <row r="226">
      <c r="A226" s="16" t="n"/>
      <c r="B226" s="17" t="inlineStr">
        <is>
          <t>collaboration</t>
        </is>
      </c>
      <c r="C226" s="18" t="inlineStr">
        <is>
          <t>0 = Solo  -&gt;  1 = Collective</t>
        </is>
      </c>
      <c r="D226" s="17" t="inlineStr">
        <is>
          <t>B</t>
        </is>
      </c>
      <c r="E226" s="12" t="n"/>
      <c r="F226" s="12" t="n"/>
      <c r="G226" s="19" t="n"/>
    </row>
    <row r="227">
      <c r="A227" s="16" t="n"/>
      <c r="B227" s="17" t="inlineStr">
        <is>
          <t>feedback</t>
        </is>
      </c>
      <c r="C227" s="18" t="inlineStr">
        <is>
          <t>0 = Sparse/gentle  -&gt;  1 = Frequent/blunt</t>
        </is>
      </c>
      <c r="D227" s="17" t="inlineStr">
        <is>
          <t>A</t>
        </is>
      </c>
      <c r="E227" s="12" t="n"/>
      <c r="F227" s="12" t="n"/>
      <c r="G227" s="19" t="n"/>
    </row>
    <row r="228">
      <c r="A228" s="16" t="n"/>
      <c r="B228" s="17" t="inlineStr">
        <is>
          <t>feedback</t>
        </is>
      </c>
      <c r="C228" s="18" t="inlineStr">
        <is>
          <t>0 = Sparse/gentle  -&gt;  1 = Frequent/blunt</t>
        </is>
      </c>
      <c r="D228" s="17" t="inlineStr">
        <is>
          <t>B</t>
        </is>
      </c>
      <c r="E228" s="12" t="n"/>
      <c r="F228" s="12" t="n"/>
      <c r="G228" s="19" t="n"/>
    </row>
    <row r="229">
      <c r="A229" s="16" t="n"/>
      <c r="B229" s="17" t="inlineStr">
        <is>
          <t>innovation</t>
        </is>
      </c>
      <c r="C229" s="18" t="inlineStr">
        <is>
          <t>0 = Execute/optimize  -&gt;  1 = Invent/explore</t>
        </is>
      </c>
      <c r="D229" s="17" t="inlineStr">
        <is>
          <t>A</t>
        </is>
      </c>
      <c r="E229" s="12" t="n"/>
      <c r="F229" s="12" t="n"/>
      <c r="G229" s="19" t="n"/>
    </row>
    <row r="230">
      <c r="A230" s="16" t="n"/>
      <c r="B230" s="17" t="inlineStr">
        <is>
          <t>innovation</t>
        </is>
      </c>
      <c r="C230" s="18" t="inlineStr">
        <is>
          <t>0 = Execute/optimize  -&gt;  1 = Invent/explore</t>
        </is>
      </c>
      <c r="D230" s="17" t="inlineStr">
        <is>
          <t>B</t>
        </is>
      </c>
      <c r="E230" s="12" t="n"/>
      <c r="F230" s="12" t="n"/>
      <c r="G230" s="19" t="n"/>
    </row>
    <row r="231">
      <c r="A231" s="16" t="n"/>
      <c r="B231" s="17" t="inlineStr">
        <is>
          <t>decision</t>
        </is>
      </c>
      <c r="C231" s="18" t="inlineStr">
        <is>
          <t>0 = Intuition/judgement  -&gt;  1 = Data/analysis</t>
        </is>
      </c>
      <c r="D231" s="17" t="inlineStr">
        <is>
          <t>A</t>
        </is>
      </c>
      <c r="E231" s="12" t="n"/>
      <c r="F231" s="12" t="n"/>
      <c r="G231" s="19" t="n"/>
    </row>
    <row r="232">
      <c r="A232" s="16" t="n"/>
      <c r="B232" s="17" t="inlineStr">
        <is>
          <t>decision</t>
        </is>
      </c>
      <c r="C232" s="18" t="inlineStr">
        <is>
          <t>0 = Intuition/judgement  -&gt;  1 = Data/analysis</t>
        </is>
      </c>
      <c r="D232" s="17" t="inlineStr">
        <is>
          <t>B</t>
        </is>
      </c>
      <c r="E232" s="12" t="n"/>
      <c r="F232" s="12" t="n"/>
      <c r="G232" s="19" t="n"/>
    </row>
    <row r="233">
      <c r="A233" s="16" t="n"/>
      <c r="B233" s="17" t="inlineStr">
        <is>
          <t>autonomy</t>
        </is>
      </c>
      <c r="C233" s="18" t="inlineStr">
        <is>
          <t>0 = Directed  -&gt;  1 = Self-directed</t>
        </is>
      </c>
      <c r="D233" s="17" t="inlineStr">
        <is>
          <t>A</t>
        </is>
      </c>
      <c r="E233" s="12" t="n"/>
      <c r="F233" s="12" t="n"/>
      <c r="G233" s="19" t="n"/>
    </row>
    <row r="234">
      <c r="A234" s="16" t="n"/>
      <c r="B234" s="17" t="inlineStr">
        <is>
          <t>autonomy</t>
        </is>
      </c>
      <c r="C234" s="18" t="inlineStr">
        <is>
          <t>0 = Directed  -&gt;  1 = Self-directed</t>
        </is>
      </c>
      <c r="D234" s="17" t="inlineStr">
        <is>
          <t>B</t>
        </is>
      </c>
      <c r="E234" s="12" t="n"/>
      <c r="F234" s="12" t="n"/>
      <c r="G234" s="19" t="n"/>
    </row>
    <row r="235">
      <c r="A235" s="16" t="n"/>
      <c r="B235" s="17" t="inlineStr">
        <is>
          <t>pace</t>
        </is>
      </c>
      <c r="C235" s="18" t="inlineStr">
        <is>
          <t>0 = Steady  -&gt;  1 = Fast</t>
        </is>
      </c>
      <c r="D235" s="17" t="inlineStr">
        <is>
          <t>A</t>
        </is>
      </c>
      <c r="E235" s="12" t="n"/>
      <c r="F235" s="12" t="n"/>
      <c r="G235" s="19" t="n"/>
    </row>
    <row r="236">
      <c r="A236" s="16" t="n"/>
      <c r="B236" s="17" t="inlineStr">
        <is>
          <t>pace</t>
        </is>
      </c>
      <c r="C236" s="18" t="inlineStr">
        <is>
          <t>0 = Steady  -&gt;  1 = Fast</t>
        </is>
      </c>
      <c r="D236" s="17" t="inlineStr">
        <is>
          <t>B</t>
        </is>
      </c>
      <c r="E236" s="12" t="n"/>
      <c r="F236" s="12" t="n"/>
      <c r="G236" s="19" t="n"/>
    </row>
    <row r="237">
      <c r="A237" s="16" t="n"/>
      <c r="B237" s="17" t="inlineStr">
        <is>
          <t>collaboration</t>
        </is>
      </c>
      <c r="C237" s="18" t="inlineStr">
        <is>
          <t>0 = Solo  -&gt;  1 = Collective</t>
        </is>
      </c>
      <c r="D237" s="17" t="inlineStr">
        <is>
          <t>A</t>
        </is>
      </c>
      <c r="E237" s="12" t="n"/>
      <c r="F237" s="12" t="n"/>
      <c r="G237" s="19" t="n"/>
    </row>
    <row r="238">
      <c r="A238" s="16" t="n"/>
      <c r="B238" s="17" t="inlineStr">
        <is>
          <t>collaboration</t>
        </is>
      </c>
      <c r="C238" s="18" t="inlineStr">
        <is>
          <t>0 = Solo  -&gt;  1 = Collective</t>
        </is>
      </c>
      <c r="D238" s="17" t="inlineStr">
        <is>
          <t>B</t>
        </is>
      </c>
      <c r="E238" s="12" t="n"/>
      <c r="F238" s="12" t="n"/>
      <c r="G238" s="19" t="n"/>
    </row>
    <row r="239">
      <c r="A239" s="16" t="n"/>
      <c r="B239" s="17" t="inlineStr">
        <is>
          <t>feedback</t>
        </is>
      </c>
      <c r="C239" s="18" t="inlineStr">
        <is>
          <t>0 = Sparse/gentle  -&gt;  1 = Frequent/blunt</t>
        </is>
      </c>
      <c r="D239" s="17" t="inlineStr">
        <is>
          <t>A</t>
        </is>
      </c>
      <c r="E239" s="12" t="n"/>
      <c r="F239" s="12" t="n"/>
      <c r="G239" s="19" t="n"/>
    </row>
    <row r="240">
      <c r="A240" s="16" t="n"/>
      <c r="B240" s="17" t="inlineStr">
        <is>
          <t>feedback</t>
        </is>
      </c>
      <c r="C240" s="18" t="inlineStr">
        <is>
          <t>0 = Sparse/gentle  -&gt;  1 = Frequent/blunt</t>
        </is>
      </c>
      <c r="D240" s="17" t="inlineStr">
        <is>
          <t>B</t>
        </is>
      </c>
      <c r="E240" s="12" t="n"/>
      <c r="F240" s="12" t="n"/>
      <c r="G240" s="19" t="n"/>
    </row>
    <row r="241">
      <c r="A241" s="16" t="n"/>
      <c r="B241" s="17" t="inlineStr">
        <is>
          <t>innovation</t>
        </is>
      </c>
      <c r="C241" s="18" t="inlineStr">
        <is>
          <t>0 = Execute/optimize  -&gt;  1 = Invent/explore</t>
        </is>
      </c>
      <c r="D241" s="17" t="inlineStr">
        <is>
          <t>A</t>
        </is>
      </c>
      <c r="E241" s="12" t="n"/>
      <c r="F241" s="12" t="n"/>
      <c r="G241" s="19" t="n"/>
    </row>
    <row r="242">
      <c r="A242" s="16" t="n"/>
      <c r="B242" s="17" t="inlineStr">
        <is>
          <t>innovation</t>
        </is>
      </c>
      <c r="C242" s="18" t="inlineStr">
        <is>
          <t>0 = Execute/optimize  -&gt;  1 = Invent/explore</t>
        </is>
      </c>
      <c r="D242" s="17" t="inlineStr">
        <is>
          <t>B</t>
        </is>
      </c>
      <c r="E242" s="12" t="n"/>
      <c r="F242" s="12" t="n"/>
      <c r="G242" s="19" t="n"/>
    </row>
    <row r="243">
      <c r="A243" s="16" t="n"/>
      <c r="B243" s="17" t="inlineStr">
        <is>
          <t>decision</t>
        </is>
      </c>
      <c r="C243" s="18" t="inlineStr">
        <is>
          <t>0 = Intuition/judgement  -&gt;  1 = Data/analysis</t>
        </is>
      </c>
      <c r="D243" s="17" t="inlineStr">
        <is>
          <t>A</t>
        </is>
      </c>
      <c r="E243" s="12" t="n"/>
      <c r="F243" s="12" t="n"/>
      <c r="G243" s="19" t="n"/>
    </row>
    <row r="244">
      <c r="A244" s="16" t="n"/>
      <c r="B244" s="17" t="inlineStr">
        <is>
          <t>decision</t>
        </is>
      </c>
      <c r="C244" s="18" t="inlineStr">
        <is>
          <t>0 = Intuition/judgement  -&gt;  1 = Data/analysis</t>
        </is>
      </c>
      <c r="D244" s="17" t="inlineStr">
        <is>
          <t>B</t>
        </is>
      </c>
      <c r="E244" s="12" t="n"/>
      <c r="F244" s="12" t="n"/>
      <c r="G244" s="19" t="n"/>
    </row>
    <row r="245">
      <c r="A245" s="16" t="n"/>
      <c r="B245" s="17" t="inlineStr">
        <is>
          <t>autonomy</t>
        </is>
      </c>
      <c r="C245" s="18" t="inlineStr">
        <is>
          <t>0 = Directed  -&gt;  1 = Self-directed</t>
        </is>
      </c>
      <c r="D245" s="17" t="inlineStr">
        <is>
          <t>A</t>
        </is>
      </c>
      <c r="E245" s="12" t="n"/>
      <c r="F245" s="12" t="n"/>
      <c r="G245" s="19" t="n"/>
    </row>
    <row r="246">
      <c r="A246" s="16" t="n"/>
      <c r="B246" s="17" t="inlineStr">
        <is>
          <t>autonomy</t>
        </is>
      </c>
      <c r="C246" s="18" t="inlineStr">
        <is>
          <t>0 = Directed  -&gt;  1 = Self-directed</t>
        </is>
      </c>
      <c r="D246" s="17" t="inlineStr">
        <is>
          <t>B</t>
        </is>
      </c>
      <c r="E246" s="12" t="n"/>
      <c r="F246" s="12" t="n"/>
      <c r="G246" s="19" t="n"/>
    </row>
    <row r="247">
      <c r="A247" s="16" t="n"/>
      <c r="B247" s="17" t="inlineStr">
        <is>
          <t>pace</t>
        </is>
      </c>
      <c r="C247" s="18" t="inlineStr">
        <is>
          <t>0 = Steady  -&gt;  1 = Fast</t>
        </is>
      </c>
      <c r="D247" s="17" t="inlineStr">
        <is>
          <t>A</t>
        </is>
      </c>
      <c r="E247" s="12" t="n"/>
      <c r="F247" s="12" t="n"/>
      <c r="G247" s="19" t="n"/>
    </row>
    <row r="248">
      <c r="A248" s="16" t="n"/>
      <c r="B248" s="17" t="inlineStr">
        <is>
          <t>pace</t>
        </is>
      </c>
      <c r="C248" s="18" t="inlineStr">
        <is>
          <t>0 = Steady  -&gt;  1 = Fast</t>
        </is>
      </c>
      <c r="D248" s="17" t="inlineStr">
        <is>
          <t>B</t>
        </is>
      </c>
      <c r="E248" s="12" t="n"/>
      <c r="F248" s="12" t="n"/>
      <c r="G248" s="19" t="n"/>
    </row>
    <row r="249">
      <c r="A249" s="16" t="n"/>
      <c r="B249" s="17" t="inlineStr">
        <is>
          <t>collaboration</t>
        </is>
      </c>
      <c r="C249" s="18" t="inlineStr">
        <is>
          <t>0 = Solo  -&gt;  1 = Collective</t>
        </is>
      </c>
      <c r="D249" s="17" t="inlineStr">
        <is>
          <t>A</t>
        </is>
      </c>
      <c r="E249" s="12" t="n"/>
      <c r="F249" s="12" t="n"/>
      <c r="G249" s="19" t="n"/>
    </row>
    <row r="250">
      <c r="A250" s="16" t="n"/>
      <c r="B250" s="17" t="inlineStr">
        <is>
          <t>collaboration</t>
        </is>
      </c>
      <c r="C250" s="18" t="inlineStr">
        <is>
          <t>0 = Solo  -&gt;  1 = Collective</t>
        </is>
      </c>
      <c r="D250" s="17" t="inlineStr">
        <is>
          <t>B</t>
        </is>
      </c>
      <c r="E250" s="12" t="n"/>
      <c r="F250" s="12" t="n"/>
      <c r="G250" s="19" t="n"/>
    </row>
    <row r="251">
      <c r="A251" s="16" t="n"/>
      <c r="B251" s="17" t="inlineStr">
        <is>
          <t>feedback</t>
        </is>
      </c>
      <c r="C251" s="18" t="inlineStr">
        <is>
          <t>0 = Sparse/gentle  -&gt;  1 = Frequent/blunt</t>
        </is>
      </c>
      <c r="D251" s="17" t="inlineStr">
        <is>
          <t>A</t>
        </is>
      </c>
      <c r="E251" s="12" t="n"/>
      <c r="F251" s="12" t="n"/>
      <c r="G251" s="19" t="n"/>
    </row>
    <row r="252">
      <c r="A252" s="16" t="n"/>
      <c r="B252" s="17" t="inlineStr">
        <is>
          <t>feedback</t>
        </is>
      </c>
      <c r="C252" s="18" t="inlineStr">
        <is>
          <t>0 = Sparse/gentle  -&gt;  1 = Frequent/blunt</t>
        </is>
      </c>
      <c r="D252" s="17" t="inlineStr">
        <is>
          <t>B</t>
        </is>
      </c>
      <c r="E252" s="12" t="n"/>
      <c r="F252" s="12" t="n"/>
      <c r="G252" s="19" t="n"/>
    </row>
    <row r="253">
      <c r="A253" s="16" t="n"/>
      <c r="B253" s="17" t="inlineStr">
        <is>
          <t>innovation</t>
        </is>
      </c>
      <c r="C253" s="18" t="inlineStr">
        <is>
          <t>0 = Execute/optimize  -&gt;  1 = Invent/explore</t>
        </is>
      </c>
      <c r="D253" s="17" t="inlineStr">
        <is>
          <t>A</t>
        </is>
      </c>
      <c r="E253" s="12" t="n"/>
      <c r="F253" s="12" t="n"/>
      <c r="G253" s="19" t="n"/>
    </row>
    <row r="254">
      <c r="A254" s="16" t="n"/>
      <c r="B254" s="17" t="inlineStr">
        <is>
          <t>innovation</t>
        </is>
      </c>
      <c r="C254" s="18" t="inlineStr">
        <is>
          <t>0 = Execute/optimize  -&gt;  1 = Invent/explore</t>
        </is>
      </c>
      <c r="D254" s="17" t="inlineStr">
        <is>
          <t>B</t>
        </is>
      </c>
      <c r="E254" s="12" t="n"/>
      <c r="F254" s="12" t="n"/>
      <c r="G254" s="19" t="n"/>
    </row>
    <row r="255">
      <c r="A255" s="16" t="n"/>
      <c r="B255" s="17" t="inlineStr">
        <is>
          <t>decision</t>
        </is>
      </c>
      <c r="C255" s="18" t="inlineStr">
        <is>
          <t>0 = Intuition/judgement  -&gt;  1 = Data/analysis</t>
        </is>
      </c>
      <c r="D255" s="17" t="inlineStr">
        <is>
          <t>A</t>
        </is>
      </c>
      <c r="E255" s="12" t="n"/>
      <c r="F255" s="12" t="n"/>
      <c r="G255" s="19" t="n"/>
    </row>
    <row r="256">
      <c r="A256" s="16" t="n"/>
      <c r="B256" s="17" t="inlineStr">
        <is>
          <t>decision</t>
        </is>
      </c>
      <c r="C256" s="18" t="inlineStr">
        <is>
          <t>0 = Intuition/judgement  -&gt;  1 = Data/analysis</t>
        </is>
      </c>
      <c r="D256" s="17" t="inlineStr">
        <is>
          <t>B</t>
        </is>
      </c>
      <c r="E256" s="12" t="n"/>
      <c r="F256" s="12" t="n"/>
      <c r="G256" s="19" t="n"/>
    </row>
  </sheetData>
  <mergeCells count="2">
    <mergeCell ref="A2:G2"/>
    <mergeCell ref="A1:G1"/>
  </mergeCells>
  <dataValidations count="4">
    <dataValidation sqref="D5:D256" showDropDown="0" showInputMessage="0" showErrorMessage="0" allowBlank="1" type="list">
      <formula1>"A,B"</formula1>
    </dataValidation>
    <dataValidation sqref="B5:B256" showDropDown="0" showInputMessage="0" showErrorMessage="0" allowBlank="1" type="list">
      <formula1>"autonomy,pace,collaboration,feedback,innovation,decision"</formula1>
    </dataValidation>
    <dataValidation sqref="E5:E256" showDropDown="0" showInputMessage="0" showErrorMessage="0" allowBlank="1" type="decimal" operator="between">
      <formula1>0</formula1>
      <formula2>1</formula2>
    </dataValidation>
    <dataValidation sqref="F5:F25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10" customWidth="1" min="4" max="4"/>
    <col width="9" customWidth="1" min="5" max="5"/>
    <col width="12" customWidth="1" min="6" max="6"/>
  </cols>
  <sheetData>
    <row r="1">
      <c r="A1" s="7" t="inlineStr">
        <is>
          <t>Inter-rater agreement (auto-computed)</t>
        </is>
      </c>
    </row>
    <row r="2">
      <c r="A2" s="8" t="inlineStr">
        <is>
          <t>Pulls both raters' scores per company x dimension. Flags gaps &gt; 0.15 - those anchors need rewording, not averaging.</t>
        </is>
      </c>
    </row>
    <row r="4">
      <c r="A4" s="20" t="inlineStr">
        <is>
          <t>Mean gap (scored pairs):</t>
        </is>
      </c>
      <c r="C4" s="21">
        <f>IFERROR(AVERAGE(E8:E127),"-")</f>
        <v/>
      </c>
    </row>
    <row r="5">
      <c r="A5" s="20" t="inlineStr">
        <is>
          <t>Dimensions flagged (&gt;0.15):</t>
        </is>
      </c>
      <c r="C5" s="5">
        <f>COUNTIF(F8:F127,"REVIEW")</f>
        <v/>
      </c>
    </row>
    <row r="7" ht="24" customHeight="1">
      <c r="A7" s="9" t="inlineStr">
        <is>
          <t>company</t>
        </is>
      </c>
      <c r="B7" s="9" t="inlineStr">
        <is>
          <t>dimension</t>
        </is>
      </c>
      <c r="C7" s="9" t="inlineStr">
        <is>
          <t>rater A</t>
        </is>
      </c>
      <c r="D7" s="9" t="inlineStr">
        <is>
          <t>rater B</t>
        </is>
      </c>
      <c r="E7" s="9" t="inlineStr">
        <is>
          <t>gap</t>
        </is>
      </c>
      <c r="F7" s="9" t="inlineStr">
        <is>
          <t>flag</t>
        </is>
      </c>
    </row>
    <row r="8">
      <c r="A8" s="22">
        <f>IF(Companies!$B$5="","",Companies!$B$5)</f>
        <v/>
      </c>
      <c r="B8" s="17" t="inlineStr">
        <is>
          <t>autonomy</t>
        </is>
      </c>
      <c r="C8" s="17">
        <f>IF(OR(Companies!$B$5="",COUNTIFS(Scores!$A$5:$A$256,Companies!$B$5,Scores!$B$5:$B$256,"autonomy",Scores!$D$5:$D$256,"A")=0),"",SUMIFS(Scores!$E$5:$E$256,Scores!$A$5:$A$256,Companies!$B$5,Scores!$B$5:$B$256,"autonomy",Scores!$D$5:$D$256,"A"))</f>
        <v/>
      </c>
      <c r="D8" s="17">
        <f>IF(OR(Companies!$B$5="",COUNTIFS(Scores!$A$5:$A$256,Companies!$B$5,Scores!$B$5:$B$256,"autonomy",Scores!$D$5:$D$256,"B")=0),"",SUMIFS(Scores!$E$5:$E$256,Scores!$A$5:$A$256,Companies!$B$5,Scores!$B$5:$B$256,"autonomy",Scores!$D$5:$D$256,"B"))</f>
        <v/>
      </c>
      <c r="E8" s="23">
        <f>IF(OR(C8="",D8=""),"",ABS(C8-D8))</f>
        <v/>
      </c>
      <c r="F8" s="17">
        <f>IF(E8="","",IF(E8&gt;0.15,"REVIEW",""))</f>
        <v/>
      </c>
    </row>
    <row r="9">
      <c r="A9" s="22">
        <f>IF(Companies!$B$5="","",Companies!$B$5)</f>
        <v/>
      </c>
      <c r="B9" s="17" t="inlineStr">
        <is>
          <t>pace</t>
        </is>
      </c>
      <c r="C9" s="17">
        <f>IF(OR(Companies!$B$5="",COUNTIFS(Scores!$A$5:$A$256,Companies!$B$5,Scores!$B$5:$B$256,"pace",Scores!$D$5:$D$256,"A")=0),"",SUMIFS(Scores!$E$5:$E$256,Scores!$A$5:$A$256,Companies!$B$5,Scores!$B$5:$B$256,"pace",Scores!$D$5:$D$256,"A"))</f>
        <v/>
      </c>
      <c r="D9" s="17">
        <f>IF(OR(Companies!$B$5="",COUNTIFS(Scores!$A$5:$A$256,Companies!$B$5,Scores!$B$5:$B$256,"pace",Scores!$D$5:$D$256,"B")=0),"",SUMIFS(Scores!$E$5:$E$256,Scores!$A$5:$A$256,Companies!$B$5,Scores!$B$5:$B$256,"pace",Scores!$D$5:$D$256,"B"))</f>
        <v/>
      </c>
      <c r="E9" s="23">
        <f>IF(OR(C9="",D9=""),"",ABS(C9-D9))</f>
        <v/>
      </c>
      <c r="F9" s="17">
        <f>IF(E9="","",IF(E9&gt;0.15,"REVIEW",""))</f>
        <v/>
      </c>
    </row>
    <row r="10">
      <c r="A10" s="22">
        <f>IF(Companies!$B$5="","",Companies!$B$5)</f>
        <v/>
      </c>
      <c r="B10" s="17" t="inlineStr">
        <is>
          <t>collaboration</t>
        </is>
      </c>
      <c r="C10" s="17">
        <f>IF(OR(Companies!$B$5="",COUNTIFS(Scores!$A$5:$A$256,Companies!$B$5,Scores!$B$5:$B$256,"collaboration",Scores!$D$5:$D$256,"A")=0),"",SUMIFS(Scores!$E$5:$E$256,Scores!$A$5:$A$256,Companies!$B$5,Scores!$B$5:$B$256,"collaboration",Scores!$D$5:$D$256,"A"))</f>
        <v/>
      </c>
      <c r="D10" s="17">
        <f>IF(OR(Companies!$B$5="",COUNTIFS(Scores!$A$5:$A$256,Companies!$B$5,Scores!$B$5:$B$256,"collaboration",Scores!$D$5:$D$256,"B")=0),"",SUMIFS(Scores!$E$5:$E$256,Scores!$A$5:$A$256,Companies!$B$5,Scores!$B$5:$B$256,"collaboration",Scores!$D$5:$D$256,"B"))</f>
        <v/>
      </c>
      <c r="E10" s="23">
        <f>IF(OR(C10="",D10=""),"",ABS(C10-D10))</f>
        <v/>
      </c>
      <c r="F10" s="17">
        <f>IF(E10="","",IF(E10&gt;0.15,"REVIEW",""))</f>
        <v/>
      </c>
    </row>
    <row r="11">
      <c r="A11" s="22">
        <f>IF(Companies!$B$5="","",Companies!$B$5)</f>
        <v/>
      </c>
      <c r="B11" s="17" t="inlineStr">
        <is>
          <t>feedback</t>
        </is>
      </c>
      <c r="C11" s="17">
        <f>IF(OR(Companies!$B$5="",COUNTIFS(Scores!$A$5:$A$256,Companies!$B$5,Scores!$B$5:$B$256,"feedback",Scores!$D$5:$D$256,"A")=0),"",SUMIFS(Scores!$E$5:$E$256,Scores!$A$5:$A$256,Companies!$B$5,Scores!$B$5:$B$256,"feedback",Scores!$D$5:$D$256,"A"))</f>
        <v/>
      </c>
      <c r="D11" s="17">
        <f>IF(OR(Companies!$B$5="",COUNTIFS(Scores!$A$5:$A$256,Companies!$B$5,Scores!$B$5:$B$256,"feedback",Scores!$D$5:$D$256,"B")=0),"",SUMIFS(Scores!$E$5:$E$256,Scores!$A$5:$A$256,Companies!$B$5,Scores!$B$5:$B$256,"feedback",Scores!$D$5:$D$256,"B"))</f>
        <v/>
      </c>
      <c r="E11" s="23">
        <f>IF(OR(C11="",D11=""),"",ABS(C11-D11))</f>
        <v/>
      </c>
      <c r="F11" s="17">
        <f>IF(E11="","",IF(E11&gt;0.15,"REVIEW",""))</f>
        <v/>
      </c>
    </row>
    <row r="12">
      <c r="A12" s="22">
        <f>IF(Companies!$B$5="","",Companies!$B$5)</f>
        <v/>
      </c>
      <c r="B12" s="17" t="inlineStr">
        <is>
          <t>innovation</t>
        </is>
      </c>
      <c r="C12" s="17">
        <f>IF(OR(Companies!$B$5="",COUNTIFS(Scores!$A$5:$A$256,Companies!$B$5,Scores!$B$5:$B$256,"innovation",Scores!$D$5:$D$256,"A")=0),"",SUMIFS(Scores!$E$5:$E$256,Scores!$A$5:$A$256,Companies!$B$5,Scores!$B$5:$B$256,"innovation",Scores!$D$5:$D$256,"A"))</f>
        <v/>
      </c>
      <c r="D12" s="17">
        <f>IF(OR(Companies!$B$5="",COUNTIFS(Scores!$A$5:$A$256,Companies!$B$5,Scores!$B$5:$B$256,"innovation",Scores!$D$5:$D$256,"B")=0),"",SUMIFS(Scores!$E$5:$E$256,Scores!$A$5:$A$256,Companies!$B$5,Scores!$B$5:$B$256,"innovation",Scores!$D$5:$D$256,"B"))</f>
        <v/>
      </c>
      <c r="E12" s="23">
        <f>IF(OR(C12="",D12=""),"",ABS(C12-D12))</f>
        <v/>
      </c>
      <c r="F12" s="17">
        <f>IF(E12="","",IF(E12&gt;0.15,"REVIEW",""))</f>
        <v/>
      </c>
    </row>
    <row r="13">
      <c r="A13" s="22">
        <f>IF(Companies!$B$5="","",Companies!$B$5)</f>
        <v/>
      </c>
      <c r="B13" s="17" t="inlineStr">
        <is>
          <t>decision</t>
        </is>
      </c>
      <c r="C13" s="17">
        <f>IF(OR(Companies!$B$5="",COUNTIFS(Scores!$A$5:$A$256,Companies!$B$5,Scores!$B$5:$B$256,"decision",Scores!$D$5:$D$256,"A")=0),"",SUMIFS(Scores!$E$5:$E$256,Scores!$A$5:$A$256,Companies!$B$5,Scores!$B$5:$B$256,"decision",Scores!$D$5:$D$256,"A"))</f>
        <v/>
      </c>
      <c r="D13" s="17">
        <f>IF(OR(Companies!$B$5="",COUNTIFS(Scores!$A$5:$A$256,Companies!$B$5,Scores!$B$5:$B$256,"decision",Scores!$D$5:$D$256,"B")=0),"",SUMIFS(Scores!$E$5:$E$256,Scores!$A$5:$A$256,Companies!$B$5,Scores!$B$5:$B$256,"decision",Scores!$D$5:$D$256,"B"))</f>
        <v/>
      </c>
      <c r="E13" s="23">
        <f>IF(OR(C13="",D13=""),"",ABS(C13-D13))</f>
        <v/>
      </c>
      <c r="F13" s="17">
        <f>IF(E13="","",IF(E13&gt;0.15,"REVIEW",""))</f>
        <v/>
      </c>
    </row>
    <row r="14">
      <c r="A14" s="22">
        <f>IF(Companies!$B$6="","",Companies!$B$6)</f>
        <v/>
      </c>
      <c r="B14" s="17" t="inlineStr">
        <is>
          <t>autonomy</t>
        </is>
      </c>
      <c r="C14" s="17">
        <f>IF(OR(Companies!$B$6="",COUNTIFS(Scores!$A$5:$A$256,Companies!$B$6,Scores!$B$5:$B$256,"autonomy",Scores!$D$5:$D$256,"A")=0),"",SUMIFS(Scores!$E$5:$E$256,Scores!$A$5:$A$256,Companies!$B$6,Scores!$B$5:$B$256,"autonomy",Scores!$D$5:$D$256,"A"))</f>
        <v/>
      </c>
      <c r="D14" s="17">
        <f>IF(OR(Companies!$B$6="",COUNTIFS(Scores!$A$5:$A$256,Companies!$B$6,Scores!$B$5:$B$256,"autonomy",Scores!$D$5:$D$256,"B")=0),"",SUMIFS(Scores!$E$5:$E$256,Scores!$A$5:$A$256,Companies!$B$6,Scores!$B$5:$B$256,"autonomy",Scores!$D$5:$D$256,"B"))</f>
        <v/>
      </c>
      <c r="E14" s="23">
        <f>IF(OR(C14="",D14=""),"",ABS(C14-D14))</f>
        <v/>
      </c>
      <c r="F14" s="17">
        <f>IF(E14="","",IF(E14&gt;0.15,"REVIEW",""))</f>
        <v/>
      </c>
    </row>
    <row r="15">
      <c r="A15" s="22">
        <f>IF(Companies!$B$6="","",Companies!$B$6)</f>
        <v/>
      </c>
      <c r="B15" s="17" t="inlineStr">
        <is>
          <t>pace</t>
        </is>
      </c>
      <c r="C15" s="17">
        <f>IF(OR(Companies!$B$6="",COUNTIFS(Scores!$A$5:$A$256,Companies!$B$6,Scores!$B$5:$B$256,"pace",Scores!$D$5:$D$256,"A")=0),"",SUMIFS(Scores!$E$5:$E$256,Scores!$A$5:$A$256,Companies!$B$6,Scores!$B$5:$B$256,"pace",Scores!$D$5:$D$256,"A"))</f>
        <v/>
      </c>
      <c r="D15" s="17">
        <f>IF(OR(Companies!$B$6="",COUNTIFS(Scores!$A$5:$A$256,Companies!$B$6,Scores!$B$5:$B$256,"pace",Scores!$D$5:$D$256,"B")=0),"",SUMIFS(Scores!$E$5:$E$256,Scores!$A$5:$A$256,Companies!$B$6,Scores!$B$5:$B$256,"pace",Scores!$D$5:$D$256,"B"))</f>
        <v/>
      </c>
      <c r="E15" s="23">
        <f>IF(OR(C15="",D15=""),"",ABS(C15-D15))</f>
        <v/>
      </c>
      <c r="F15" s="17">
        <f>IF(E15="","",IF(E15&gt;0.15,"REVIEW",""))</f>
        <v/>
      </c>
    </row>
    <row r="16">
      <c r="A16" s="22">
        <f>IF(Companies!$B$6="","",Companies!$B$6)</f>
        <v/>
      </c>
      <c r="B16" s="17" t="inlineStr">
        <is>
          <t>collaboration</t>
        </is>
      </c>
      <c r="C16" s="17">
        <f>IF(OR(Companies!$B$6="",COUNTIFS(Scores!$A$5:$A$256,Companies!$B$6,Scores!$B$5:$B$256,"collaboration",Scores!$D$5:$D$256,"A")=0),"",SUMIFS(Scores!$E$5:$E$256,Scores!$A$5:$A$256,Companies!$B$6,Scores!$B$5:$B$256,"collaboration",Scores!$D$5:$D$256,"A"))</f>
        <v/>
      </c>
      <c r="D16" s="17">
        <f>IF(OR(Companies!$B$6="",COUNTIFS(Scores!$A$5:$A$256,Companies!$B$6,Scores!$B$5:$B$256,"collaboration",Scores!$D$5:$D$256,"B")=0),"",SUMIFS(Scores!$E$5:$E$256,Scores!$A$5:$A$256,Companies!$B$6,Scores!$B$5:$B$256,"collaboration",Scores!$D$5:$D$256,"B"))</f>
        <v/>
      </c>
      <c r="E16" s="23">
        <f>IF(OR(C16="",D16=""),"",ABS(C16-D16))</f>
        <v/>
      </c>
      <c r="F16" s="17">
        <f>IF(E16="","",IF(E16&gt;0.15,"REVIEW",""))</f>
        <v/>
      </c>
    </row>
    <row r="17">
      <c r="A17" s="22">
        <f>IF(Companies!$B$6="","",Companies!$B$6)</f>
        <v/>
      </c>
      <c r="B17" s="17" t="inlineStr">
        <is>
          <t>feedback</t>
        </is>
      </c>
      <c r="C17" s="17">
        <f>IF(OR(Companies!$B$6="",COUNTIFS(Scores!$A$5:$A$256,Companies!$B$6,Scores!$B$5:$B$256,"feedback",Scores!$D$5:$D$256,"A")=0),"",SUMIFS(Scores!$E$5:$E$256,Scores!$A$5:$A$256,Companies!$B$6,Scores!$B$5:$B$256,"feedback",Scores!$D$5:$D$256,"A"))</f>
        <v/>
      </c>
      <c r="D17" s="17">
        <f>IF(OR(Companies!$B$6="",COUNTIFS(Scores!$A$5:$A$256,Companies!$B$6,Scores!$B$5:$B$256,"feedback",Scores!$D$5:$D$256,"B")=0),"",SUMIFS(Scores!$E$5:$E$256,Scores!$A$5:$A$256,Companies!$B$6,Scores!$B$5:$B$256,"feedback",Scores!$D$5:$D$256,"B"))</f>
        <v/>
      </c>
      <c r="E17" s="23">
        <f>IF(OR(C17="",D17=""),"",ABS(C17-D17))</f>
        <v/>
      </c>
      <c r="F17" s="17">
        <f>IF(E17="","",IF(E17&gt;0.15,"REVIEW",""))</f>
        <v/>
      </c>
    </row>
    <row r="18">
      <c r="A18" s="22">
        <f>IF(Companies!$B$6="","",Companies!$B$6)</f>
        <v/>
      </c>
      <c r="B18" s="17" t="inlineStr">
        <is>
          <t>innovation</t>
        </is>
      </c>
      <c r="C18" s="17">
        <f>IF(OR(Companies!$B$6="",COUNTIFS(Scores!$A$5:$A$256,Companies!$B$6,Scores!$B$5:$B$256,"innovation",Scores!$D$5:$D$256,"A")=0),"",SUMIFS(Scores!$E$5:$E$256,Scores!$A$5:$A$256,Companies!$B$6,Scores!$B$5:$B$256,"innovation",Scores!$D$5:$D$256,"A"))</f>
        <v/>
      </c>
      <c r="D18" s="17">
        <f>IF(OR(Companies!$B$6="",COUNTIFS(Scores!$A$5:$A$256,Companies!$B$6,Scores!$B$5:$B$256,"innovation",Scores!$D$5:$D$256,"B")=0),"",SUMIFS(Scores!$E$5:$E$256,Scores!$A$5:$A$256,Companies!$B$6,Scores!$B$5:$B$256,"innovation",Scores!$D$5:$D$256,"B"))</f>
        <v/>
      </c>
      <c r="E18" s="23">
        <f>IF(OR(C18="",D18=""),"",ABS(C18-D18))</f>
        <v/>
      </c>
      <c r="F18" s="17">
        <f>IF(E18="","",IF(E18&gt;0.15,"REVIEW",""))</f>
        <v/>
      </c>
    </row>
    <row r="19">
      <c r="A19" s="22">
        <f>IF(Companies!$B$6="","",Companies!$B$6)</f>
        <v/>
      </c>
      <c r="B19" s="17" t="inlineStr">
        <is>
          <t>decision</t>
        </is>
      </c>
      <c r="C19" s="17">
        <f>IF(OR(Companies!$B$6="",COUNTIFS(Scores!$A$5:$A$256,Companies!$B$6,Scores!$B$5:$B$256,"decision",Scores!$D$5:$D$256,"A")=0),"",SUMIFS(Scores!$E$5:$E$256,Scores!$A$5:$A$256,Companies!$B$6,Scores!$B$5:$B$256,"decision",Scores!$D$5:$D$256,"A"))</f>
        <v/>
      </c>
      <c r="D19" s="17">
        <f>IF(OR(Companies!$B$6="",COUNTIFS(Scores!$A$5:$A$256,Companies!$B$6,Scores!$B$5:$B$256,"decision",Scores!$D$5:$D$256,"B")=0),"",SUMIFS(Scores!$E$5:$E$256,Scores!$A$5:$A$256,Companies!$B$6,Scores!$B$5:$B$256,"decision",Scores!$D$5:$D$256,"B"))</f>
        <v/>
      </c>
      <c r="E19" s="23">
        <f>IF(OR(C19="",D19=""),"",ABS(C19-D19))</f>
        <v/>
      </c>
      <c r="F19" s="17">
        <f>IF(E19="","",IF(E19&gt;0.15,"REVIEW",""))</f>
        <v/>
      </c>
    </row>
    <row r="20">
      <c r="A20" s="22">
        <f>IF(Companies!$B$7="","",Companies!$B$7)</f>
        <v/>
      </c>
      <c r="B20" s="17" t="inlineStr">
        <is>
          <t>autonomy</t>
        </is>
      </c>
      <c r="C20" s="17">
        <f>IF(OR(Companies!$B$7="",COUNTIFS(Scores!$A$5:$A$256,Companies!$B$7,Scores!$B$5:$B$256,"autonomy",Scores!$D$5:$D$256,"A")=0),"",SUMIFS(Scores!$E$5:$E$256,Scores!$A$5:$A$256,Companies!$B$7,Scores!$B$5:$B$256,"autonomy",Scores!$D$5:$D$256,"A"))</f>
        <v/>
      </c>
      <c r="D20" s="17">
        <f>IF(OR(Companies!$B$7="",COUNTIFS(Scores!$A$5:$A$256,Companies!$B$7,Scores!$B$5:$B$256,"autonomy",Scores!$D$5:$D$256,"B")=0),"",SUMIFS(Scores!$E$5:$E$256,Scores!$A$5:$A$256,Companies!$B$7,Scores!$B$5:$B$256,"autonomy",Scores!$D$5:$D$256,"B"))</f>
        <v/>
      </c>
      <c r="E20" s="23">
        <f>IF(OR(C20="",D20=""),"",ABS(C20-D20))</f>
        <v/>
      </c>
      <c r="F20" s="17">
        <f>IF(E20="","",IF(E20&gt;0.15,"REVIEW",""))</f>
        <v/>
      </c>
    </row>
    <row r="21">
      <c r="A21" s="22">
        <f>IF(Companies!$B$7="","",Companies!$B$7)</f>
        <v/>
      </c>
      <c r="B21" s="17" t="inlineStr">
        <is>
          <t>pace</t>
        </is>
      </c>
      <c r="C21" s="17">
        <f>IF(OR(Companies!$B$7="",COUNTIFS(Scores!$A$5:$A$256,Companies!$B$7,Scores!$B$5:$B$256,"pace",Scores!$D$5:$D$256,"A")=0),"",SUMIFS(Scores!$E$5:$E$256,Scores!$A$5:$A$256,Companies!$B$7,Scores!$B$5:$B$256,"pace",Scores!$D$5:$D$256,"A"))</f>
        <v/>
      </c>
      <c r="D21" s="17">
        <f>IF(OR(Companies!$B$7="",COUNTIFS(Scores!$A$5:$A$256,Companies!$B$7,Scores!$B$5:$B$256,"pace",Scores!$D$5:$D$256,"B")=0),"",SUMIFS(Scores!$E$5:$E$256,Scores!$A$5:$A$256,Companies!$B$7,Scores!$B$5:$B$256,"pace",Scores!$D$5:$D$256,"B"))</f>
        <v/>
      </c>
      <c r="E21" s="23">
        <f>IF(OR(C21="",D21=""),"",ABS(C21-D21))</f>
        <v/>
      </c>
      <c r="F21" s="17">
        <f>IF(E21="","",IF(E21&gt;0.15,"REVIEW",""))</f>
        <v/>
      </c>
    </row>
    <row r="22">
      <c r="A22" s="22">
        <f>IF(Companies!$B$7="","",Companies!$B$7)</f>
        <v/>
      </c>
      <c r="B22" s="17" t="inlineStr">
        <is>
          <t>collaboration</t>
        </is>
      </c>
      <c r="C22" s="17">
        <f>IF(OR(Companies!$B$7="",COUNTIFS(Scores!$A$5:$A$256,Companies!$B$7,Scores!$B$5:$B$256,"collaboration",Scores!$D$5:$D$256,"A")=0),"",SUMIFS(Scores!$E$5:$E$256,Scores!$A$5:$A$256,Companies!$B$7,Scores!$B$5:$B$256,"collaboration",Scores!$D$5:$D$256,"A"))</f>
        <v/>
      </c>
      <c r="D22" s="17">
        <f>IF(OR(Companies!$B$7="",COUNTIFS(Scores!$A$5:$A$256,Companies!$B$7,Scores!$B$5:$B$256,"collaboration",Scores!$D$5:$D$256,"B")=0),"",SUMIFS(Scores!$E$5:$E$256,Scores!$A$5:$A$256,Companies!$B$7,Scores!$B$5:$B$256,"collaboration",Scores!$D$5:$D$256,"B"))</f>
        <v/>
      </c>
      <c r="E22" s="23">
        <f>IF(OR(C22="",D22=""),"",ABS(C22-D22))</f>
        <v/>
      </c>
      <c r="F22" s="17">
        <f>IF(E22="","",IF(E22&gt;0.15,"REVIEW",""))</f>
        <v/>
      </c>
    </row>
    <row r="23">
      <c r="A23" s="22">
        <f>IF(Companies!$B$7="","",Companies!$B$7)</f>
        <v/>
      </c>
      <c r="B23" s="17" t="inlineStr">
        <is>
          <t>feedback</t>
        </is>
      </c>
      <c r="C23" s="17">
        <f>IF(OR(Companies!$B$7="",COUNTIFS(Scores!$A$5:$A$256,Companies!$B$7,Scores!$B$5:$B$256,"feedback",Scores!$D$5:$D$256,"A")=0),"",SUMIFS(Scores!$E$5:$E$256,Scores!$A$5:$A$256,Companies!$B$7,Scores!$B$5:$B$256,"feedback",Scores!$D$5:$D$256,"A"))</f>
        <v/>
      </c>
      <c r="D23" s="17">
        <f>IF(OR(Companies!$B$7="",COUNTIFS(Scores!$A$5:$A$256,Companies!$B$7,Scores!$B$5:$B$256,"feedback",Scores!$D$5:$D$256,"B")=0),"",SUMIFS(Scores!$E$5:$E$256,Scores!$A$5:$A$256,Companies!$B$7,Scores!$B$5:$B$256,"feedback",Scores!$D$5:$D$256,"B"))</f>
        <v/>
      </c>
      <c r="E23" s="23">
        <f>IF(OR(C23="",D23=""),"",ABS(C23-D23))</f>
        <v/>
      </c>
      <c r="F23" s="17">
        <f>IF(E23="","",IF(E23&gt;0.15,"REVIEW",""))</f>
        <v/>
      </c>
    </row>
    <row r="24">
      <c r="A24" s="22">
        <f>IF(Companies!$B$7="","",Companies!$B$7)</f>
        <v/>
      </c>
      <c r="B24" s="17" t="inlineStr">
        <is>
          <t>innovation</t>
        </is>
      </c>
      <c r="C24" s="17">
        <f>IF(OR(Companies!$B$7="",COUNTIFS(Scores!$A$5:$A$256,Companies!$B$7,Scores!$B$5:$B$256,"innovation",Scores!$D$5:$D$256,"A")=0),"",SUMIFS(Scores!$E$5:$E$256,Scores!$A$5:$A$256,Companies!$B$7,Scores!$B$5:$B$256,"innovation",Scores!$D$5:$D$256,"A"))</f>
        <v/>
      </c>
      <c r="D24" s="17">
        <f>IF(OR(Companies!$B$7="",COUNTIFS(Scores!$A$5:$A$256,Companies!$B$7,Scores!$B$5:$B$256,"innovation",Scores!$D$5:$D$256,"B")=0),"",SUMIFS(Scores!$E$5:$E$256,Scores!$A$5:$A$256,Companies!$B$7,Scores!$B$5:$B$256,"innovation",Scores!$D$5:$D$256,"B"))</f>
        <v/>
      </c>
      <c r="E24" s="23">
        <f>IF(OR(C24="",D24=""),"",ABS(C24-D24))</f>
        <v/>
      </c>
      <c r="F24" s="17">
        <f>IF(E24="","",IF(E24&gt;0.15,"REVIEW",""))</f>
        <v/>
      </c>
    </row>
    <row r="25">
      <c r="A25" s="22">
        <f>IF(Companies!$B$7="","",Companies!$B$7)</f>
        <v/>
      </c>
      <c r="B25" s="17" t="inlineStr">
        <is>
          <t>decision</t>
        </is>
      </c>
      <c r="C25" s="17">
        <f>IF(OR(Companies!$B$7="",COUNTIFS(Scores!$A$5:$A$256,Companies!$B$7,Scores!$B$5:$B$256,"decision",Scores!$D$5:$D$256,"A")=0),"",SUMIFS(Scores!$E$5:$E$256,Scores!$A$5:$A$256,Companies!$B$7,Scores!$B$5:$B$256,"decision",Scores!$D$5:$D$256,"A"))</f>
        <v/>
      </c>
      <c r="D25" s="17">
        <f>IF(OR(Companies!$B$7="",COUNTIFS(Scores!$A$5:$A$256,Companies!$B$7,Scores!$B$5:$B$256,"decision",Scores!$D$5:$D$256,"B")=0),"",SUMIFS(Scores!$E$5:$E$256,Scores!$A$5:$A$256,Companies!$B$7,Scores!$B$5:$B$256,"decision",Scores!$D$5:$D$256,"B"))</f>
        <v/>
      </c>
      <c r="E25" s="23">
        <f>IF(OR(C25="",D25=""),"",ABS(C25-D25))</f>
        <v/>
      </c>
      <c r="F25" s="17">
        <f>IF(E25="","",IF(E25&gt;0.15,"REVIEW",""))</f>
        <v/>
      </c>
    </row>
    <row r="26">
      <c r="A26" s="22">
        <f>IF(Companies!$B$8="","",Companies!$B$8)</f>
        <v/>
      </c>
      <c r="B26" s="17" t="inlineStr">
        <is>
          <t>autonomy</t>
        </is>
      </c>
      <c r="C26" s="17">
        <f>IF(OR(Companies!$B$8="",COUNTIFS(Scores!$A$5:$A$256,Companies!$B$8,Scores!$B$5:$B$256,"autonomy",Scores!$D$5:$D$256,"A")=0),"",SUMIFS(Scores!$E$5:$E$256,Scores!$A$5:$A$256,Companies!$B$8,Scores!$B$5:$B$256,"autonomy",Scores!$D$5:$D$256,"A"))</f>
        <v/>
      </c>
      <c r="D26" s="17">
        <f>IF(OR(Companies!$B$8="",COUNTIFS(Scores!$A$5:$A$256,Companies!$B$8,Scores!$B$5:$B$256,"autonomy",Scores!$D$5:$D$256,"B")=0),"",SUMIFS(Scores!$E$5:$E$256,Scores!$A$5:$A$256,Companies!$B$8,Scores!$B$5:$B$256,"autonomy",Scores!$D$5:$D$256,"B"))</f>
        <v/>
      </c>
      <c r="E26" s="23">
        <f>IF(OR(C26="",D26=""),"",ABS(C26-D26))</f>
        <v/>
      </c>
      <c r="F26" s="17">
        <f>IF(E26="","",IF(E26&gt;0.15,"REVIEW",""))</f>
        <v/>
      </c>
    </row>
    <row r="27">
      <c r="A27" s="22">
        <f>IF(Companies!$B$8="","",Companies!$B$8)</f>
        <v/>
      </c>
      <c r="B27" s="17" t="inlineStr">
        <is>
          <t>pace</t>
        </is>
      </c>
      <c r="C27" s="17">
        <f>IF(OR(Companies!$B$8="",COUNTIFS(Scores!$A$5:$A$256,Companies!$B$8,Scores!$B$5:$B$256,"pace",Scores!$D$5:$D$256,"A")=0),"",SUMIFS(Scores!$E$5:$E$256,Scores!$A$5:$A$256,Companies!$B$8,Scores!$B$5:$B$256,"pace",Scores!$D$5:$D$256,"A"))</f>
        <v/>
      </c>
      <c r="D27" s="17">
        <f>IF(OR(Companies!$B$8="",COUNTIFS(Scores!$A$5:$A$256,Companies!$B$8,Scores!$B$5:$B$256,"pace",Scores!$D$5:$D$256,"B")=0),"",SUMIFS(Scores!$E$5:$E$256,Scores!$A$5:$A$256,Companies!$B$8,Scores!$B$5:$B$256,"pace",Scores!$D$5:$D$256,"B"))</f>
        <v/>
      </c>
      <c r="E27" s="23">
        <f>IF(OR(C27="",D27=""),"",ABS(C27-D27))</f>
        <v/>
      </c>
      <c r="F27" s="17">
        <f>IF(E27="","",IF(E27&gt;0.15,"REVIEW",""))</f>
        <v/>
      </c>
    </row>
    <row r="28">
      <c r="A28" s="22">
        <f>IF(Companies!$B$8="","",Companies!$B$8)</f>
        <v/>
      </c>
      <c r="B28" s="17" t="inlineStr">
        <is>
          <t>collaboration</t>
        </is>
      </c>
      <c r="C28" s="17">
        <f>IF(OR(Companies!$B$8="",COUNTIFS(Scores!$A$5:$A$256,Companies!$B$8,Scores!$B$5:$B$256,"collaboration",Scores!$D$5:$D$256,"A")=0),"",SUMIFS(Scores!$E$5:$E$256,Scores!$A$5:$A$256,Companies!$B$8,Scores!$B$5:$B$256,"collaboration",Scores!$D$5:$D$256,"A"))</f>
        <v/>
      </c>
      <c r="D28" s="17">
        <f>IF(OR(Companies!$B$8="",COUNTIFS(Scores!$A$5:$A$256,Companies!$B$8,Scores!$B$5:$B$256,"collaboration",Scores!$D$5:$D$256,"B")=0),"",SUMIFS(Scores!$E$5:$E$256,Scores!$A$5:$A$256,Companies!$B$8,Scores!$B$5:$B$256,"collaboration",Scores!$D$5:$D$256,"B"))</f>
        <v/>
      </c>
      <c r="E28" s="23">
        <f>IF(OR(C28="",D28=""),"",ABS(C28-D28))</f>
        <v/>
      </c>
      <c r="F28" s="17">
        <f>IF(E28="","",IF(E28&gt;0.15,"REVIEW",""))</f>
        <v/>
      </c>
    </row>
    <row r="29">
      <c r="A29" s="22">
        <f>IF(Companies!$B$8="","",Companies!$B$8)</f>
        <v/>
      </c>
      <c r="B29" s="17" t="inlineStr">
        <is>
          <t>feedback</t>
        </is>
      </c>
      <c r="C29" s="17">
        <f>IF(OR(Companies!$B$8="",COUNTIFS(Scores!$A$5:$A$256,Companies!$B$8,Scores!$B$5:$B$256,"feedback",Scores!$D$5:$D$256,"A")=0),"",SUMIFS(Scores!$E$5:$E$256,Scores!$A$5:$A$256,Companies!$B$8,Scores!$B$5:$B$256,"feedback",Scores!$D$5:$D$256,"A"))</f>
        <v/>
      </c>
      <c r="D29" s="17">
        <f>IF(OR(Companies!$B$8="",COUNTIFS(Scores!$A$5:$A$256,Companies!$B$8,Scores!$B$5:$B$256,"feedback",Scores!$D$5:$D$256,"B")=0),"",SUMIFS(Scores!$E$5:$E$256,Scores!$A$5:$A$256,Companies!$B$8,Scores!$B$5:$B$256,"feedback",Scores!$D$5:$D$256,"B"))</f>
        <v/>
      </c>
      <c r="E29" s="23">
        <f>IF(OR(C29="",D29=""),"",ABS(C29-D29))</f>
        <v/>
      </c>
      <c r="F29" s="17">
        <f>IF(E29="","",IF(E29&gt;0.15,"REVIEW",""))</f>
        <v/>
      </c>
    </row>
    <row r="30">
      <c r="A30" s="22">
        <f>IF(Companies!$B$8="","",Companies!$B$8)</f>
        <v/>
      </c>
      <c r="B30" s="17" t="inlineStr">
        <is>
          <t>innovation</t>
        </is>
      </c>
      <c r="C30" s="17">
        <f>IF(OR(Companies!$B$8="",COUNTIFS(Scores!$A$5:$A$256,Companies!$B$8,Scores!$B$5:$B$256,"innovation",Scores!$D$5:$D$256,"A")=0),"",SUMIFS(Scores!$E$5:$E$256,Scores!$A$5:$A$256,Companies!$B$8,Scores!$B$5:$B$256,"innovation",Scores!$D$5:$D$256,"A"))</f>
        <v/>
      </c>
      <c r="D30" s="17">
        <f>IF(OR(Companies!$B$8="",COUNTIFS(Scores!$A$5:$A$256,Companies!$B$8,Scores!$B$5:$B$256,"innovation",Scores!$D$5:$D$256,"B")=0),"",SUMIFS(Scores!$E$5:$E$256,Scores!$A$5:$A$256,Companies!$B$8,Scores!$B$5:$B$256,"innovation",Scores!$D$5:$D$256,"B"))</f>
        <v/>
      </c>
      <c r="E30" s="23">
        <f>IF(OR(C30="",D30=""),"",ABS(C30-D30))</f>
        <v/>
      </c>
      <c r="F30" s="17">
        <f>IF(E30="","",IF(E30&gt;0.15,"REVIEW",""))</f>
        <v/>
      </c>
    </row>
    <row r="31">
      <c r="A31" s="22">
        <f>IF(Companies!$B$8="","",Companies!$B$8)</f>
        <v/>
      </c>
      <c r="B31" s="17" t="inlineStr">
        <is>
          <t>decision</t>
        </is>
      </c>
      <c r="C31" s="17">
        <f>IF(OR(Companies!$B$8="",COUNTIFS(Scores!$A$5:$A$256,Companies!$B$8,Scores!$B$5:$B$256,"decision",Scores!$D$5:$D$256,"A")=0),"",SUMIFS(Scores!$E$5:$E$256,Scores!$A$5:$A$256,Companies!$B$8,Scores!$B$5:$B$256,"decision",Scores!$D$5:$D$256,"A"))</f>
        <v/>
      </c>
      <c r="D31" s="17">
        <f>IF(OR(Companies!$B$8="",COUNTIFS(Scores!$A$5:$A$256,Companies!$B$8,Scores!$B$5:$B$256,"decision",Scores!$D$5:$D$256,"B")=0),"",SUMIFS(Scores!$E$5:$E$256,Scores!$A$5:$A$256,Companies!$B$8,Scores!$B$5:$B$256,"decision",Scores!$D$5:$D$256,"B"))</f>
        <v/>
      </c>
      <c r="E31" s="23">
        <f>IF(OR(C31="",D31=""),"",ABS(C31-D31))</f>
        <v/>
      </c>
      <c r="F31" s="17">
        <f>IF(E31="","",IF(E31&gt;0.15,"REVIEW",""))</f>
        <v/>
      </c>
    </row>
    <row r="32">
      <c r="A32" s="22">
        <f>IF(Companies!$B$9="","",Companies!$B$9)</f>
        <v/>
      </c>
      <c r="B32" s="17" t="inlineStr">
        <is>
          <t>autonomy</t>
        </is>
      </c>
      <c r="C32" s="17">
        <f>IF(OR(Companies!$B$9="",COUNTIFS(Scores!$A$5:$A$256,Companies!$B$9,Scores!$B$5:$B$256,"autonomy",Scores!$D$5:$D$256,"A")=0),"",SUMIFS(Scores!$E$5:$E$256,Scores!$A$5:$A$256,Companies!$B$9,Scores!$B$5:$B$256,"autonomy",Scores!$D$5:$D$256,"A"))</f>
        <v/>
      </c>
      <c r="D32" s="17">
        <f>IF(OR(Companies!$B$9="",COUNTIFS(Scores!$A$5:$A$256,Companies!$B$9,Scores!$B$5:$B$256,"autonomy",Scores!$D$5:$D$256,"B")=0),"",SUMIFS(Scores!$E$5:$E$256,Scores!$A$5:$A$256,Companies!$B$9,Scores!$B$5:$B$256,"autonomy",Scores!$D$5:$D$256,"B"))</f>
        <v/>
      </c>
      <c r="E32" s="23">
        <f>IF(OR(C32="",D32=""),"",ABS(C32-D32))</f>
        <v/>
      </c>
      <c r="F32" s="17">
        <f>IF(E32="","",IF(E32&gt;0.15,"REVIEW",""))</f>
        <v/>
      </c>
    </row>
    <row r="33">
      <c r="A33" s="22">
        <f>IF(Companies!$B$9="","",Companies!$B$9)</f>
        <v/>
      </c>
      <c r="B33" s="17" t="inlineStr">
        <is>
          <t>pace</t>
        </is>
      </c>
      <c r="C33" s="17">
        <f>IF(OR(Companies!$B$9="",COUNTIFS(Scores!$A$5:$A$256,Companies!$B$9,Scores!$B$5:$B$256,"pace",Scores!$D$5:$D$256,"A")=0),"",SUMIFS(Scores!$E$5:$E$256,Scores!$A$5:$A$256,Companies!$B$9,Scores!$B$5:$B$256,"pace",Scores!$D$5:$D$256,"A"))</f>
        <v/>
      </c>
      <c r="D33" s="17">
        <f>IF(OR(Companies!$B$9="",COUNTIFS(Scores!$A$5:$A$256,Companies!$B$9,Scores!$B$5:$B$256,"pace",Scores!$D$5:$D$256,"B")=0),"",SUMIFS(Scores!$E$5:$E$256,Scores!$A$5:$A$256,Companies!$B$9,Scores!$B$5:$B$256,"pace",Scores!$D$5:$D$256,"B"))</f>
        <v/>
      </c>
      <c r="E33" s="23">
        <f>IF(OR(C33="",D33=""),"",ABS(C33-D33))</f>
        <v/>
      </c>
      <c r="F33" s="17">
        <f>IF(E33="","",IF(E33&gt;0.15,"REVIEW",""))</f>
        <v/>
      </c>
    </row>
    <row r="34">
      <c r="A34" s="22">
        <f>IF(Companies!$B$9="","",Companies!$B$9)</f>
        <v/>
      </c>
      <c r="B34" s="17" t="inlineStr">
        <is>
          <t>collaboration</t>
        </is>
      </c>
      <c r="C34" s="17">
        <f>IF(OR(Companies!$B$9="",COUNTIFS(Scores!$A$5:$A$256,Companies!$B$9,Scores!$B$5:$B$256,"collaboration",Scores!$D$5:$D$256,"A")=0),"",SUMIFS(Scores!$E$5:$E$256,Scores!$A$5:$A$256,Companies!$B$9,Scores!$B$5:$B$256,"collaboration",Scores!$D$5:$D$256,"A"))</f>
        <v/>
      </c>
      <c r="D34" s="17">
        <f>IF(OR(Companies!$B$9="",COUNTIFS(Scores!$A$5:$A$256,Companies!$B$9,Scores!$B$5:$B$256,"collaboration",Scores!$D$5:$D$256,"B")=0),"",SUMIFS(Scores!$E$5:$E$256,Scores!$A$5:$A$256,Companies!$B$9,Scores!$B$5:$B$256,"collaboration",Scores!$D$5:$D$256,"B"))</f>
        <v/>
      </c>
      <c r="E34" s="23">
        <f>IF(OR(C34="",D34=""),"",ABS(C34-D34))</f>
        <v/>
      </c>
      <c r="F34" s="17">
        <f>IF(E34="","",IF(E34&gt;0.15,"REVIEW",""))</f>
        <v/>
      </c>
    </row>
    <row r="35">
      <c r="A35" s="22">
        <f>IF(Companies!$B$9="","",Companies!$B$9)</f>
        <v/>
      </c>
      <c r="B35" s="17" t="inlineStr">
        <is>
          <t>feedback</t>
        </is>
      </c>
      <c r="C35" s="17">
        <f>IF(OR(Companies!$B$9="",COUNTIFS(Scores!$A$5:$A$256,Companies!$B$9,Scores!$B$5:$B$256,"feedback",Scores!$D$5:$D$256,"A")=0),"",SUMIFS(Scores!$E$5:$E$256,Scores!$A$5:$A$256,Companies!$B$9,Scores!$B$5:$B$256,"feedback",Scores!$D$5:$D$256,"A"))</f>
        <v/>
      </c>
      <c r="D35" s="17">
        <f>IF(OR(Companies!$B$9="",COUNTIFS(Scores!$A$5:$A$256,Companies!$B$9,Scores!$B$5:$B$256,"feedback",Scores!$D$5:$D$256,"B")=0),"",SUMIFS(Scores!$E$5:$E$256,Scores!$A$5:$A$256,Companies!$B$9,Scores!$B$5:$B$256,"feedback",Scores!$D$5:$D$256,"B"))</f>
        <v/>
      </c>
      <c r="E35" s="23">
        <f>IF(OR(C35="",D35=""),"",ABS(C35-D35))</f>
        <v/>
      </c>
      <c r="F35" s="17">
        <f>IF(E35="","",IF(E35&gt;0.15,"REVIEW",""))</f>
        <v/>
      </c>
    </row>
    <row r="36">
      <c r="A36" s="22">
        <f>IF(Companies!$B$9="","",Companies!$B$9)</f>
        <v/>
      </c>
      <c r="B36" s="17" t="inlineStr">
        <is>
          <t>innovation</t>
        </is>
      </c>
      <c r="C36" s="17">
        <f>IF(OR(Companies!$B$9="",COUNTIFS(Scores!$A$5:$A$256,Companies!$B$9,Scores!$B$5:$B$256,"innovation",Scores!$D$5:$D$256,"A")=0),"",SUMIFS(Scores!$E$5:$E$256,Scores!$A$5:$A$256,Companies!$B$9,Scores!$B$5:$B$256,"innovation",Scores!$D$5:$D$256,"A"))</f>
        <v/>
      </c>
      <c r="D36" s="17">
        <f>IF(OR(Companies!$B$9="",COUNTIFS(Scores!$A$5:$A$256,Companies!$B$9,Scores!$B$5:$B$256,"innovation",Scores!$D$5:$D$256,"B")=0),"",SUMIFS(Scores!$E$5:$E$256,Scores!$A$5:$A$256,Companies!$B$9,Scores!$B$5:$B$256,"innovation",Scores!$D$5:$D$256,"B"))</f>
        <v/>
      </c>
      <c r="E36" s="23">
        <f>IF(OR(C36="",D36=""),"",ABS(C36-D36))</f>
        <v/>
      </c>
      <c r="F36" s="17">
        <f>IF(E36="","",IF(E36&gt;0.15,"REVIEW",""))</f>
        <v/>
      </c>
    </row>
    <row r="37">
      <c r="A37" s="22">
        <f>IF(Companies!$B$9="","",Companies!$B$9)</f>
        <v/>
      </c>
      <c r="B37" s="17" t="inlineStr">
        <is>
          <t>decision</t>
        </is>
      </c>
      <c r="C37" s="17">
        <f>IF(OR(Companies!$B$9="",COUNTIFS(Scores!$A$5:$A$256,Companies!$B$9,Scores!$B$5:$B$256,"decision",Scores!$D$5:$D$256,"A")=0),"",SUMIFS(Scores!$E$5:$E$256,Scores!$A$5:$A$256,Companies!$B$9,Scores!$B$5:$B$256,"decision",Scores!$D$5:$D$256,"A"))</f>
        <v/>
      </c>
      <c r="D37" s="17">
        <f>IF(OR(Companies!$B$9="",COUNTIFS(Scores!$A$5:$A$256,Companies!$B$9,Scores!$B$5:$B$256,"decision",Scores!$D$5:$D$256,"B")=0),"",SUMIFS(Scores!$E$5:$E$256,Scores!$A$5:$A$256,Companies!$B$9,Scores!$B$5:$B$256,"decision",Scores!$D$5:$D$256,"B"))</f>
        <v/>
      </c>
      <c r="E37" s="23">
        <f>IF(OR(C37="",D37=""),"",ABS(C37-D37))</f>
        <v/>
      </c>
      <c r="F37" s="17">
        <f>IF(E37="","",IF(E37&gt;0.15,"REVIEW",""))</f>
        <v/>
      </c>
    </row>
    <row r="38">
      <c r="A38" s="22">
        <f>IF(Companies!$B$10="","",Companies!$B$10)</f>
        <v/>
      </c>
      <c r="B38" s="17" t="inlineStr">
        <is>
          <t>autonomy</t>
        </is>
      </c>
      <c r="C38" s="17">
        <f>IF(OR(Companies!$B$10="",COUNTIFS(Scores!$A$5:$A$256,Companies!$B$10,Scores!$B$5:$B$256,"autonomy",Scores!$D$5:$D$256,"A")=0),"",SUMIFS(Scores!$E$5:$E$256,Scores!$A$5:$A$256,Companies!$B$10,Scores!$B$5:$B$256,"autonomy",Scores!$D$5:$D$256,"A"))</f>
        <v/>
      </c>
      <c r="D38" s="17">
        <f>IF(OR(Companies!$B$10="",COUNTIFS(Scores!$A$5:$A$256,Companies!$B$10,Scores!$B$5:$B$256,"autonomy",Scores!$D$5:$D$256,"B")=0),"",SUMIFS(Scores!$E$5:$E$256,Scores!$A$5:$A$256,Companies!$B$10,Scores!$B$5:$B$256,"autonomy",Scores!$D$5:$D$256,"B"))</f>
        <v/>
      </c>
      <c r="E38" s="23">
        <f>IF(OR(C38="",D38=""),"",ABS(C38-D38))</f>
        <v/>
      </c>
      <c r="F38" s="17">
        <f>IF(E38="","",IF(E38&gt;0.15,"REVIEW",""))</f>
        <v/>
      </c>
    </row>
    <row r="39">
      <c r="A39" s="22">
        <f>IF(Companies!$B$10="","",Companies!$B$10)</f>
        <v/>
      </c>
      <c r="B39" s="17" t="inlineStr">
        <is>
          <t>pace</t>
        </is>
      </c>
      <c r="C39" s="17">
        <f>IF(OR(Companies!$B$10="",COUNTIFS(Scores!$A$5:$A$256,Companies!$B$10,Scores!$B$5:$B$256,"pace",Scores!$D$5:$D$256,"A")=0),"",SUMIFS(Scores!$E$5:$E$256,Scores!$A$5:$A$256,Companies!$B$10,Scores!$B$5:$B$256,"pace",Scores!$D$5:$D$256,"A"))</f>
        <v/>
      </c>
      <c r="D39" s="17">
        <f>IF(OR(Companies!$B$10="",COUNTIFS(Scores!$A$5:$A$256,Companies!$B$10,Scores!$B$5:$B$256,"pace",Scores!$D$5:$D$256,"B")=0),"",SUMIFS(Scores!$E$5:$E$256,Scores!$A$5:$A$256,Companies!$B$10,Scores!$B$5:$B$256,"pace",Scores!$D$5:$D$256,"B"))</f>
        <v/>
      </c>
      <c r="E39" s="23">
        <f>IF(OR(C39="",D39=""),"",ABS(C39-D39))</f>
        <v/>
      </c>
      <c r="F39" s="17">
        <f>IF(E39="","",IF(E39&gt;0.15,"REVIEW",""))</f>
        <v/>
      </c>
    </row>
    <row r="40">
      <c r="A40" s="22">
        <f>IF(Companies!$B$10="","",Companies!$B$10)</f>
        <v/>
      </c>
      <c r="B40" s="17" t="inlineStr">
        <is>
          <t>collaboration</t>
        </is>
      </c>
      <c r="C40" s="17">
        <f>IF(OR(Companies!$B$10="",COUNTIFS(Scores!$A$5:$A$256,Companies!$B$10,Scores!$B$5:$B$256,"collaboration",Scores!$D$5:$D$256,"A")=0),"",SUMIFS(Scores!$E$5:$E$256,Scores!$A$5:$A$256,Companies!$B$10,Scores!$B$5:$B$256,"collaboration",Scores!$D$5:$D$256,"A"))</f>
        <v/>
      </c>
      <c r="D40" s="17">
        <f>IF(OR(Companies!$B$10="",COUNTIFS(Scores!$A$5:$A$256,Companies!$B$10,Scores!$B$5:$B$256,"collaboration",Scores!$D$5:$D$256,"B")=0),"",SUMIFS(Scores!$E$5:$E$256,Scores!$A$5:$A$256,Companies!$B$10,Scores!$B$5:$B$256,"collaboration",Scores!$D$5:$D$256,"B"))</f>
        <v/>
      </c>
      <c r="E40" s="23">
        <f>IF(OR(C40="",D40=""),"",ABS(C40-D40))</f>
        <v/>
      </c>
      <c r="F40" s="17">
        <f>IF(E40="","",IF(E40&gt;0.15,"REVIEW",""))</f>
        <v/>
      </c>
    </row>
    <row r="41">
      <c r="A41" s="22">
        <f>IF(Companies!$B$10="","",Companies!$B$10)</f>
        <v/>
      </c>
      <c r="B41" s="17" t="inlineStr">
        <is>
          <t>feedback</t>
        </is>
      </c>
      <c r="C41" s="17">
        <f>IF(OR(Companies!$B$10="",COUNTIFS(Scores!$A$5:$A$256,Companies!$B$10,Scores!$B$5:$B$256,"feedback",Scores!$D$5:$D$256,"A")=0),"",SUMIFS(Scores!$E$5:$E$256,Scores!$A$5:$A$256,Companies!$B$10,Scores!$B$5:$B$256,"feedback",Scores!$D$5:$D$256,"A"))</f>
        <v/>
      </c>
      <c r="D41" s="17">
        <f>IF(OR(Companies!$B$10="",COUNTIFS(Scores!$A$5:$A$256,Companies!$B$10,Scores!$B$5:$B$256,"feedback",Scores!$D$5:$D$256,"B")=0),"",SUMIFS(Scores!$E$5:$E$256,Scores!$A$5:$A$256,Companies!$B$10,Scores!$B$5:$B$256,"feedback",Scores!$D$5:$D$256,"B"))</f>
        <v/>
      </c>
      <c r="E41" s="23">
        <f>IF(OR(C41="",D41=""),"",ABS(C41-D41))</f>
        <v/>
      </c>
      <c r="F41" s="17">
        <f>IF(E41="","",IF(E41&gt;0.15,"REVIEW",""))</f>
        <v/>
      </c>
    </row>
    <row r="42">
      <c r="A42" s="22">
        <f>IF(Companies!$B$10="","",Companies!$B$10)</f>
        <v/>
      </c>
      <c r="B42" s="17" t="inlineStr">
        <is>
          <t>innovation</t>
        </is>
      </c>
      <c r="C42" s="17">
        <f>IF(OR(Companies!$B$10="",COUNTIFS(Scores!$A$5:$A$256,Companies!$B$10,Scores!$B$5:$B$256,"innovation",Scores!$D$5:$D$256,"A")=0),"",SUMIFS(Scores!$E$5:$E$256,Scores!$A$5:$A$256,Companies!$B$10,Scores!$B$5:$B$256,"innovation",Scores!$D$5:$D$256,"A"))</f>
        <v/>
      </c>
      <c r="D42" s="17">
        <f>IF(OR(Companies!$B$10="",COUNTIFS(Scores!$A$5:$A$256,Companies!$B$10,Scores!$B$5:$B$256,"innovation",Scores!$D$5:$D$256,"B")=0),"",SUMIFS(Scores!$E$5:$E$256,Scores!$A$5:$A$256,Companies!$B$10,Scores!$B$5:$B$256,"innovation",Scores!$D$5:$D$256,"B"))</f>
        <v/>
      </c>
      <c r="E42" s="23">
        <f>IF(OR(C42="",D42=""),"",ABS(C42-D42))</f>
        <v/>
      </c>
      <c r="F42" s="17">
        <f>IF(E42="","",IF(E42&gt;0.15,"REVIEW",""))</f>
        <v/>
      </c>
    </row>
    <row r="43">
      <c r="A43" s="22">
        <f>IF(Companies!$B$10="","",Companies!$B$10)</f>
        <v/>
      </c>
      <c r="B43" s="17" t="inlineStr">
        <is>
          <t>decision</t>
        </is>
      </c>
      <c r="C43" s="17">
        <f>IF(OR(Companies!$B$10="",COUNTIFS(Scores!$A$5:$A$256,Companies!$B$10,Scores!$B$5:$B$256,"decision",Scores!$D$5:$D$256,"A")=0),"",SUMIFS(Scores!$E$5:$E$256,Scores!$A$5:$A$256,Companies!$B$10,Scores!$B$5:$B$256,"decision",Scores!$D$5:$D$256,"A"))</f>
        <v/>
      </c>
      <c r="D43" s="17">
        <f>IF(OR(Companies!$B$10="",COUNTIFS(Scores!$A$5:$A$256,Companies!$B$10,Scores!$B$5:$B$256,"decision",Scores!$D$5:$D$256,"B")=0),"",SUMIFS(Scores!$E$5:$E$256,Scores!$A$5:$A$256,Companies!$B$10,Scores!$B$5:$B$256,"decision",Scores!$D$5:$D$256,"B"))</f>
        <v/>
      </c>
      <c r="E43" s="23">
        <f>IF(OR(C43="",D43=""),"",ABS(C43-D43))</f>
        <v/>
      </c>
      <c r="F43" s="17">
        <f>IF(E43="","",IF(E43&gt;0.15,"REVIEW",""))</f>
        <v/>
      </c>
    </row>
    <row r="44">
      <c r="A44" s="22">
        <f>IF(Companies!$B$11="","",Companies!$B$11)</f>
        <v/>
      </c>
      <c r="B44" s="17" t="inlineStr">
        <is>
          <t>autonomy</t>
        </is>
      </c>
      <c r="C44" s="17">
        <f>IF(OR(Companies!$B$11="",COUNTIFS(Scores!$A$5:$A$256,Companies!$B$11,Scores!$B$5:$B$256,"autonomy",Scores!$D$5:$D$256,"A")=0),"",SUMIFS(Scores!$E$5:$E$256,Scores!$A$5:$A$256,Companies!$B$11,Scores!$B$5:$B$256,"autonomy",Scores!$D$5:$D$256,"A"))</f>
        <v/>
      </c>
      <c r="D44" s="17">
        <f>IF(OR(Companies!$B$11="",COUNTIFS(Scores!$A$5:$A$256,Companies!$B$11,Scores!$B$5:$B$256,"autonomy",Scores!$D$5:$D$256,"B")=0),"",SUMIFS(Scores!$E$5:$E$256,Scores!$A$5:$A$256,Companies!$B$11,Scores!$B$5:$B$256,"autonomy",Scores!$D$5:$D$256,"B"))</f>
        <v/>
      </c>
      <c r="E44" s="23">
        <f>IF(OR(C44="",D44=""),"",ABS(C44-D44))</f>
        <v/>
      </c>
      <c r="F44" s="17">
        <f>IF(E44="","",IF(E44&gt;0.15,"REVIEW",""))</f>
        <v/>
      </c>
    </row>
    <row r="45">
      <c r="A45" s="22">
        <f>IF(Companies!$B$11="","",Companies!$B$11)</f>
        <v/>
      </c>
      <c r="B45" s="17" t="inlineStr">
        <is>
          <t>pace</t>
        </is>
      </c>
      <c r="C45" s="17">
        <f>IF(OR(Companies!$B$11="",COUNTIFS(Scores!$A$5:$A$256,Companies!$B$11,Scores!$B$5:$B$256,"pace",Scores!$D$5:$D$256,"A")=0),"",SUMIFS(Scores!$E$5:$E$256,Scores!$A$5:$A$256,Companies!$B$11,Scores!$B$5:$B$256,"pace",Scores!$D$5:$D$256,"A"))</f>
        <v/>
      </c>
      <c r="D45" s="17">
        <f>IF(OR(Companies!$B$11="",COUNTIFS(Scores!$A$5:$A$256,Companies!$B$11,Scores!$B$5:$B$256,"pace",Scores!$D$5:$D$256,"B")=0),"",SUMIFS(Scores!$E$5:$E$256,Scores!$A$5:$A$256,Companies!$B$11,Scores!$B$5:$B$256,"pace",Scores!$D$5:$D$256,"B"))</f>
        <v/>
      </c>
      <c r="E45" s="23">
        <f>IF(OR(C45="",D45=""),"",ABS(C45-D45))</f>
        <v/>
      </c>
      <c r="F45" s="17">
        <f>IF(E45="","",IF(E45&gt;0.15,"REVIEW",""))</f>
        <v/>
      </c>
    </row>
    <row r="46">
      <c r="A46" s="22">
        <f>IF(Companies!$B$11="","",Companies!$B$11)</f>
        <v/>
      </c>
      <c r="B46" s="17" t="inlineStr">
        <is>
          <t>collaboration</t>
        </is>
      </c>
      <c r="C46" s="17">
        <f>IF(OR(Companies!$B$11="",COUNTIFS(Scores!$A$5:$A$256,Companies!$B$11,Scores!$B$5:$B$256,"collaboration",Scores!$D$5:$D$256,"A")=0),"",SUMIFS(Scores!$E$5:$E$256,Scores!$A$5:$A$256,Companies!$B$11,Scores!$B$5:$B$256,"collaboration",Scores!$D$5:$D$256,"A"))</f>
        <v/>
      </c>
      <c r="D46" s="17">
        <f>IF(OR(Companies!$B$11="",COUNTIFS(Scores!$A$5:$A$256,Companies!$B$11,Scores!$B$5:$B$256,"collaboration",Scores!$D$5:$D$256,"B")=0),"",SUMIFS(Scores!$E$5:$E$256,Scores!$A$5:$A$256,Companies!$B$11,Scores!$B$5:$B$256,"collaboration",Scores!$D$5:$D$256,"B"))</f>
        <v/>
      </c>
      <c r="E46" s="23">
        <f>IF(OR(C46="",D46=""),"",ABS(C46-D46))</f>
        <v/>
      </c>
      <c r="F46" s="17">
        <f>IF(E46="","",IF(E46&gt;0.15,"REVIEW",""))</f>
        <v/>
      </c>
    </row>
    <row r="47">
      <c r="A47" s="22">
        <f>IF(Companies!$B$11="","",Companies!$B$11)</f>
        <v/>
      </c>
      <c r="B47" s="17" t="inlineStr">
        <is>
          <t>feedback</t>
        </is>
      </c>
      <c r="C47" s="17">
        <f>IF(OR(Companies!$B$11="",COUNTIFS(Scores!$A$5:$A$256,Companies!$B$11,Scores!$B$5:$B$256,"feedback",Scores!$D$5:$D$256,"A")=0),"",SUMIFS(Scores!$E$5:$E$256,Scores!$A$5:$A$256,Companies!$B$11,Scores!$B$5:$B$256,"feedback",Scores!$D$5:$D$256,"A"))</f>
        <v/>
      </c>
      <c r="D47" s="17">
        <f>IF(OR(Companies!$B$11="",COUNTIFS(Scores!$A$5:$A$256,Companies!$B$11,Scores!$B$5:$B$256,"feedback",Scores!$D$5:$D$256,"B")=0),"",SUMIFS(Scores!$E$5:$E$256,Scores!$A$5:$A$256,Companies!$B$11,Scores!$B$5:$B$256,"feedback",Scores!$D$5:$D$256,"B"))</f>
        <v/>
      </c>
      <c r="E47" s="23">
        <f>IF(OR(C47="",D47=""),"",ABS(C47-D47))</f>
        <v/>
      </c>
      <c r="F47" s="17">
        <f>IF(E47="","",IF(E47&gt;0.15,"REVIEW",""))</f>
        <v/>
      </c>
    </row>
    <row r="48">
      <c r="A48" s="22">
        <f>IF(Companies!$B$11="","",Companies!$B$11)</f>
        <v/>
      </c>
      <c r="B48" s="17" t="inlineStr">
        <is>
          <t>innovation</t>
        </is>
      </c>
      <c r="C48" s="17">
        <f>IF(OR(Companies!$B$11="",COUNTIFS(Scores!$A$5:$A$256,Companies!$B$11,Scores!$B$5:$B$256,"innovation",Scores!$D$5:$D$256,"A")=0),"",SUMIFS(Scores!$E$5:$E$256,Scores!$A$5:$A$256,Companies!$B$11,Scores!$B$5:$B$256,"innovation",Scores!$D$5:$D$256,"A"))</f>
        <v/>
      </c>
      <c r="D48" s="17">
        <f>IF(OR(Companies!$B$11="",COUNTIFS(Scores!$A$5:$A$256,Companies!$B$11,Scores!$B$5:$B$256,"innovation",Scores!$D$5:$D$256,"B")=0),"",SUMIFS(Scores!$E$5:$E$256,Scores!$A$5:$A$256,Companies!$B$11,Scores!$B$5:$B$256,"innovation",Scores!$D$5:$D$256,"B"))</f>
        <v/>
      </c>
      <c r="E48" s="23">
        <f>IF(OR(C48="",D48=""),"",ABS(C48-D48))</f>
        <v/>
      </c>
      <c r="F48" s="17">
        <f>IF(E48="","",IF(E48&gt;0.15,"REVIEW",""))</f>
        <v/>
      </c>
    </row>
    <row r="49">
      <c r="A49" s="22">
        <f>IF(Companies!$B$11="","",Companies!$B$11)</f>
        <v/>
      </c>
      <c r="B49" s="17" t="inlineStr">
        <is>
          <t>decision</t>
        </is>
      </c>
      <c r="C49" s="17">
        <f>IF(OR(Companies!$B$11="",COUNTIFS(Scores!$A$5:$A$256,Companies!$B$11,Scores!$B$5:$B$256,"decision",Scores!$D$5:$D$256,"A")=0),"",SUMIFS(Scores!$E$5:$E$256,Scores!$A$5:$A$256,Companies!$B$11,Scores!$B$5:$B$256,"decision",Scores!$D$5:$D$256,"A"))</f>
        <v/>
      </c>
      <c r="D49" s="17">
        <f>IF(OR(Companies!$B$11="",COUNTIFS(Scores!$A$5:$A$256,Companies!$B$11,Scores!$B$5:$B$256,"decision",Scores!$D$5:$D$256,"B")=0),"",SUMIFS(Scores!$E$5:$E$256,Scores!$A$5:$A$256,Companies!$B$11,Scores!$B$5:$B$256,"decision",Scores!$D$5:$D$256,"B"))</f>
        <v/>
      </c>
      <c r="E49" s="23">
        <f>IF(OR(C49="",D49=""),"",ABS(C49-D49))</f>
        <v/>
      </c>
      <c r="F49" s="17">
        <f>IF(E49="","",IF(E49&gt;0.15,"REVIEW",""))</f>
        <v/>
      </c>
    </row>
    <row r="50">
      <c r="A50" s="22">
        <f>IF(Companies!$B$12="","",Companies!$B$12)</f>
        <v/>
      </c>
      <c r="B50" s="17" t="inlineStr">
        <is>
          <t>autonomy</t>
        </is>
      </c>
      <c r="C50" s="17">
        <f>IF(OR(Companies!$B$12="",COUNTIFS(Scores!$A$5:$A$256,Companies!$B$12,Scores!$B$5:$B$256,"autonomy",Scores!$D$5:$D$256,"A")=0),"",SUMIFS(Scores!$E$5:$E$256,Scores!$A$5:$A$256,Companies!$B$12,Scores!$B$5:$B$256,"autonomy",Scores!$D$5:$D$256,"A"))</f>
        <v/>
      </c>
      <c r="D50" s="17">
        <f>IF(OR(Companies!$B$12="",COUNTIFS(Scores!$A$5:$A$256,Companies!$B$12,Scores!$B$5:$B$256,"autonomy",Scores!$D$5:$D$256,"B")=0),"",SUMIFS(Scores!$E$5:$E$256,Scores!$A$5:$A$256,Companies!$B$12,Scores!$B$5:$B$256,"autonomy",Scores!$D$5:$D$256,"B"))</f>
        <v/>
      </c>
      <c r="E50" s="23">
        <f>IF(OR(C50="",D50=""),"",ABS(C50-D50))</f>
        <v/>
      </c>
      <c r="F50" s="17">
        <f>IF(E50="","",IF(E50&gt;0.15,"REVIEW",""))</f>
        <v/>
      </c>
    </row>
    <row r="51">
      <c r="A51" s="22">
        <f>IF(Companies!$B$12="","",Companies!$B$12)</f>
        <v/>
      </c>
      <c r="B51" s="17" t="inlineStr">
        <is>
          <t>pace</t>
        </is>
      </c>
      <c r="C51" s="17">
        <f>IF(OR(Companies!$B$12="",COUNTIFS(Scores!$A$5:$A$256,Companies!$B$12,Scores!$B$5:$B$256,"pace",Scores!$D$5:$D$256,"A")=0),"",SUMIFS(Scores!$E$5:$E$256,Scores!$A$5:$A$256,Companies!$B$12,Scores!$B$5:$B$256,"pace",Scores!$D$5:$D$256,"A"))</f>
        <v/>
      </c>
      <c r="D51" s="17">
        <f>IF(OR(Companies!$B$12="",COUNTIFS(Scores!$A$5:$A$256,Companies!$B$12,Scores!$B$5:$B$256,"pace",Scores!$D$5:$D$256,"B")=0),"",SUMIFS(Scores!$E$5:$E$256,Scores!$A$5:$A$256,Companies!$B$12,Scores!$B$5:$B$256,"pace",Scores!$D$5:$D$256,"B"))</f>
        <v/>
      </c>
      <c r="E51" s="23">
        <f>IF(OR(C51="",D51=""),"",ABS(C51-D51))</f>
        <v/>
      </c>
      <c r="F51" s="17">
        <f>IF(E51="","",IF(E51&gt;0.15,"REVIEW",""))</f>
        <v/>
      </c>
    </row>
    <row r="52">
      <c r="A52" s="22">
        <f>IF(Companies!$B$12="","",Companies!$B$12)</f>
        <v/>
      </c>
      <c r="B52" s="17" t="inlineStr">
        <is>
          <t>collaboration</t>
        </is>
      </c>
      <c r="C52" s="17">
        <f>IF(OR(Companies!$B$12="",COUNTIFS(Scores!$A$5:$A$256,Companies!$B$12,Scores!$B$5:$B$256,"collaboration",Scores!$D$5:$D$256,"A")=0),"",SUMIFS(Scores!$E$5:$E$256,Scores!$A$5:$A$256,Companies!$B$12,Scores!$B$5:$B$256,"collaboration",Scores!$D$5:$D$256,"A"))</f>
        <v/>
      </c>
      <c r="D52" s="17">
        <f>IF(OR(Companies!$B$12="",COUNTIFS(Scores!$A$5:$A$256,Companies!$B$12,Scores!$B$5:$B$256,"collaboration",Scores!$D$5:$D$256,"B")=0),"",SUMIFS(Scores!$E$5:$E$256,Scores!$A$5:$A$256,Companies!$B$12,Scores!$B$5:$B$256,"collaboration",Scores!$D$5:$D$256,"B"))</f>
        <v/>
      </c>
      <c r="E52" s="23">
        <f>IF(OR(C52="",D52=""),"",ABS(C52-D52))</f>
        <v/>
      </c>
      <c r="F52" s="17">
        <f>IF(E52="","",IF(E52&gt;0.15,"REVIEW",""))</f>
        <v/>
      </c>
    </row>
    <row r="53">
      <c r="A53" s="22">
        <f>IF(Companies!$B$12="","",Companies!$B$12)</f>
        <v/>
      </c>
      <c r="B53" s="17" t="inlineStr">
        <is>
          <t>feedback</t>
        </is>
      </c>
      <c r="C53" s="17">
        <f>IF(OR(Companies!$B$12="",COUNTIFS(Scores!$A$5:$A$256,Companies!$B$12,Scores!$B$5:$B$256,"feedback",Scores!$D$5:$D$256,"A")=0),"",SUMIFS(Scores!$E$5:$E$256,Scores!$A$5:$A$256,Companies!$B$12,Scores!$B$5:$B$256,"feedback",Scores!$D$5:$D$256,"A"))</f>
        <v/>
      </c>
      <c r="D53" s="17">
        <f>IF(OR(Companies!$B$12="",COUNTIFS(Scores!$A$5:$A$256,Companies!$B$12,Scores!$B$5:$B$256,"feedback",Scores!$D$5:$D$256,"B")=0),"",SUMIFS(Scores!$E$5:$E$256,Scores!$A$5:$A$256,Companies!$B$12,Scores!$B$5:$B$256,"feedback",Scores!$D$5:$D$256,"B"))</f>
        <v/>
      </c>
      <c r="E53" s="23">
        <f>IF(OR(C53="",D53=""),"",ABS(C53-D53))</f>
        <v/>
      </c>
      <c r="F53" s="17">
        <f>IF(E53="","",IF(E53&gt;0.15,"REVIEW",""))</f>
        <v/>
      </c>
    </row>
    <row r="54">
      <c r="A54" s="22">
        <f>IF(Companies!$B$12="","",Companies!$B$12)</f>
        <v/>
      </c>
      <c r="B54" s="17" t="inlineStr">
        <is>
          <t>innovation</t>
        </is>
      </c>
      <c r="C54" s="17">
        <f>IF(OR(Companies!$B$12="",COUNTIFS(Scores!$A$5:$A$256,Companies!$B$12,Scores!$B$5:$B$256,"innovation",Scores!$D$5:$D$256,"A")=0),"",SUMIFS(Scores!$E$5:$E$256,Scores!$A$5:$A$256,Companies!$B$12,Scores!$B$5:$B$256,"innovation",Scores!$D$5:$D$256,"A"))</f>
        <v/>
      </c>
      <c r="D54" s="17">
        <f>IF(OR(Companies!$B$12="",COUNTIFS(Scores!$A$5:$A$256,Companies!$B$12,Scores!$B$5:$B$256,"innovation",Scores!$D$5:$D$256,"B")=0),"",SUMIFS(Scores!$E$5:$E$256,Scores!$A$5:$A$256,Companies!$B$12,Scores!$B$5:$B$256,"innovation",Scores!$D$5:$D$256,"B"))</f>
        <v/>
      </c>
      <c r="E54" s="23">
        <f>IF(OR(C54="",D54=""),"",ABS(C54-D54))</f>
        <v/>
      </c>
      <c r="F54" s="17">
        <f>IF(E54="","",IF(E54&gt;0.15,"REVIEW",""))</f>
        <v/>
      </c>
    </row>
    <row r="55">
      <c r="A55" s="22">
        <f>IF(Companies!$B$12="","",Companies!$B$12)</f>
        <v/>
      </c>
      <c r="B55" s="17" t="inlineStr">
        <is>
          <t>decision</t>
        </is>
      </c>
      <c r="C55" s="17">
        <f>IF(OR(Companies!$B$12="",COUNTIFS(Scores!$A$5:$A$256,Companies!$B$12,Scores!$B$5:$B$256,"decision",Scores!$D$5:$D$256,"A")=0),"",SUMIFS(Scores!$E$5:$E$256,Scores!$A$5:$A$256,Companies!$B$12,Scores!$B$5:$B$256,"decision",Scores!$D$5:$D$256,"A"))</f>
        <v/>
      </c>
      <c r="D55" s="17">
        <f>IF(OR(Companies!$B$12="",COUNTIFS(Scores!$A$5:$A$256,Companies!$B$12,Scores!$B$5:$B$256,"decision",Scores!$D$5:$D$256,"B")=0),"",SUMIFS(Scores!$E$5:$E$256,Scores!$A$5:$A$256,Companies!$B$12,Scores!$B$5:$B$256,"decision",Scores!$D$5:$D$256,"B"))</f>
        <v/>
      </c>
      <c r="E55" s="23">
        <f>IF(OR(C55="",D55=""),"",ABS(C55-D55))</f>
        <v/>
      </c>
      <c r="F55" s="17">
        <f>IF(E55="","",IF(E55&gt;0.15,"REVIEW",""))</f>
        <v/>
      </c>
    </row>
    <row r="56">
      <c r="A56" s="22">
        <f>IF(Companies!$B$13="","",Companies!$B$13)</f>
        <v/>
      </c>
      <c r="B56" s="17" t="inlineStr">
        <is>
          <t>autonomy</t>
        </is>
      </c>
      <c r="C56" s="17">
        <f>IF(OR(Companies!$B$13="",COUNTIFS(Scores!$A$5:$A$256,Companies!$B$13,Scores!$B$5:$B$256,"autonomy",Scores!$D$5:$D$256,"A")=0),"",SUMIFS(Scores!$E$5:$E$256,Scores!$A$5:$A$256,Companies!$B$13,Scores!$B$5:$B$256,"autonomy",Scores!$D$5:$D$256,"A"))</f>
        <v/>
      </c>
      <c r="D56" s="17">
        <f>IF(OR(Companies!$B$13="",COUNTIFS(Scores!$A$5:$A$256,Companies!$B$13,Scores!$B$5:$B$256,"autonomy",Scores!$D$5:$D$256,"B")=0),"",SUMIFS(Scores!$E$5:$E$256,Scores!$A$5:$A$256,Companies!$B$13,Scores!$B$5:$B$256,"autonomy",Scores!$D$5:$D$256,"B"))</f>
        <v/>
      </c>
      <c r="E56" s="23">
        <f>IF(OR(C56="",D56=""),"",ABS(C56-D56))</f>
        <v/>
      </c>
      <c r="F56" s="17">
        <f>IF(E56="","",IF(E56&gt;0.15,"REVIEW",""))</f>
        <v/>
      </c>
    </row>
    <row r="57">
      <c r="A57" s="22">
        <f>IF(Companies!$B$13="","",Companies!$B$13)</f>
        <v/>
      </c>
      <c r="B57" s="17" t="inlineStr">
        <is>
          <t>pace</t>
        </is>
      </c>
      <c r="C57" s="17">
        <f>IF(OR(Companies!$B$13="",COUNTIFS(Scores!$A$5:$A$256,Companies!$B$13,Scores!$B$5:$B$256,"pace",Scores!$D$5:$D$256,"A")=0),"",SUMIFS(Scores!$E$5:$E$256,Scores!$A$5:$A$256,Companies!$B$13,Scores!$B$5:$B$256,"pace",Scores!$D$5:$D$256,"A"))</f>
        <v/>
      </c>
      <c r="D57" s="17">
        <f>IF(OR(Companies!$B$13="",COUNTIFS(Scores!$A$5:$A$256,Companies!$B$13,Scores!$B$5:$B$256,"pace",Scores!$D$5:$D$256,"B")=0),"",SUMIFS(Scores!$E$5:$E$256,Scores!$A$5:$A$256,Companies!$B$13,Scores!$B$5:$B$256,"pace",Scores!$D$5:$D$256,"B"))</f>
        <v/>
      </c>
      <c r="E57" s="23">
        <f>IF(OR(C57="",D57=""),"",ABS(C57-D57))</f>
        <v/>
      </c>
      <c r="F57" s="17">
        <f>IF(E57="","",IF(E57&gt;0.15,"REVIEW",""))</f>
        <v/>
      </c>
    </row>
    <row r="58">
      <c r="A58" s="22">
        <f>IF(Companies!$B$13="","",Companies!$B$13)</f>
        <v/>
      </c>
      <c r="B58" s="17" t="inlineStr">
        <is>
          <t>collaboration</t>
        </is>
      </c>
      <c r="C58" s="17">
        <f>IF(OR(Companies!$B$13="",COUNTIFS(Scores!$A$5:$A$256,Companies!$B$13,Scores!$B$5:$B$256,"collaboration",Scores!$D$5:$D$256,"A")=0),"",SUMIFS(Scores!$E$5:$E$256,Scores!$A$5:$A$256,Companies!$B$13,Scores!$B$5:$B$256,"collaboration",Scores!$D$5:$D$256,"A"))</f>
        <v/>
      </c>
      <c r="D58" s="17">
        <f>IF(OR(Companies!$B$13="",COUNTIFS(Scores!$A$5:$A$256,Companies!$B$13,Scores!$B$5:$B$256,"collaboration",Scores!$D$5:$D$256,"B")=0),"",SUMIFS(Scores!$E$5:$E$256,Scores!$A$5:$A$256,Companies!$B$13,Scores!$B$5:$B$256,"collaboration",Scores!$D$5:$D$256,"B"))</f>
        <v/>
      </c>
      <c r="E58" s="23">
        <f>IF(OR(C58="",D58=""),"",ABS(C58-D58))</f>
        <v/>
      </c>
      <c r="F58" s="17">
        <f>IF(E58="","",IF(E58&gt;0.15,"REVIEW",""))</f>
        <v/>
      </c>
    </row>
    <row r="59">
      <c r="A59" s="22">
        <f>IF(Companies!$B$13="","",Companies!$B$13)</f>
        <v/>
      </c>
      <c r="B59" s="17" t="inlineStr">
        <is>
          <t>feedback</t>
        </is>
      </c>
      <c r="C59" s="17">
        <f>IF(OR(Companies!$B$13="",COUNTIFS(Scores!$A$5:$A$256,Companies!$B$13,Scores!$B$5:$B$256,"feedback",Scores!$D$5:$D$256,"A")=0),"",SUMIFS(Scores!$E$5:$E$256,Scores!$A$5:$A$256,Companies!$B$13,Scores!$B$5:$B$256,"feedback",Scores!$D$5:$D$256,"A"))</f>
        <v/>
      </c>
      <c r="D59" s="17">
        <f>IF(OR(Companies!$B$13="",COUNTIFS(Scores!$A$5:$A$256,Companies!$B$13,Scores!$B$5:$B$256,"feedback",Scores!$D$5:$D$256,"B")=0),"",SUMIFS(Scores!$E$5:$E$256,Scores!$A$5:$A$256,Companies!$B$13,Scores!$B$5:$B$256,"feedback",Scores!$D$5:$D$256,"B"))</f>
        <v/>
      </c>
      <c r="E59" s="23">
        <f>IF(OR(C59="",D59=""),"",ABS(C59-D59))</f>
        <v/>
      </c>
      <c r="F59" s="17">
        <f>IF(E59="","",IF(E59&gt;0.15,"REVIEW",""))</f>
        <v/>
      </c>
    </row>
    <row r="60">
      <c r="A60" s="22">
        <f>IF(Companies!$B$13="","",Companies!$B$13)</f>
        <v/>
      </c>
      <c r="B60" s="17" t="inlineStr">
        <is>
          <t>innovation</t>
        </is>
      </c>
      <c r="C60" s="17">
        <f>IF(OR(Companies!$B$13="",COUNTIFS(Scores!$A$5:$A$256,Companies!$B$13,Scores!$B$5:$B$256,"innovation",Scores!$D$5:$D$256,"A")=0),"",SUMIFS(Scores!$E$5:$E$256,Scores!$A$5:$A$256,Companies!$B$13,Scores!$B$5:$B$256,"innovation",Scores!$D$5:$D$256,"A"))</f>
        <v/>
      </c>
      <c r="D60" s="17">
        <f>IF(OR(Companies!$B$13="",COUNTIFS(Scores!$A$5:$A$256,Companies!$B$13,Scores!$B$5:$B$256,"innovation",Scores!$D$5:$D$256,"B")=0),"",SUMIFS(Scores!$E$5:$E$256,Scores!$A$5:$A$256,Companies!$B$13,Scores!$B$5:$B$256,"innovation",Scores!$D$5:$D$256,"B"))</f>
        <v/>
      </c>
      <c r="E60" s="23">
        <f>IF(OR(C60="",D60=""),"",ABS(C60-D60))</f>
        <v/>
      </c>
      <c r="F60" s="17">
        <f>IF(E60="","",IF(E60&gt;0.15,"REVIEW",""))</f>
        <v/>
      </c>
    </row>
    <row r="61">
      <c r="A61" s="22">
        <f>IF(Companies!$B$13="","",Companies!$B$13)</f>
        <v/>
      </c>
      <c r="B61" s="17" t="inlineStr">
        <is>
          <t>decision</t>
        </is>
      </c>
      <c r="C61" s="17">
        <f>IF(OR(Companies!$B$13="",COUNTIFS(Scores!$A$5:$A$256,Companies!$B$13,Scores!$B$5:$B$256,"decision",Scores!$D$5:$D$256,"A")=0),"",SUMIFS(Scores!$E$5:$E$256,Scores!$A$5:$A$256,Companies!$B$13,Scores!$B$5:$B$256,"decision",Scores!$D$5:$D$256,"A"))</f>
        <v/>
      </c>
      <c r="D61" s="17">
        <f>IF(OR(Companies!$B$13="",COUNTIFS(Scores!$A$5:$A$256,Companies!$B$13,Scores!$B$5:$B$256,"decision",Scores!$D$5:$D$256,"B")=0),"",SUMIFS(Scores!$E$5:$E$256,Scores!$A$5:$A$256,Companies!$B$13,Scores!$B$5:$B$256,"decision",Scores!$D$5:$D$256,"B"))</f>
        <v/>
      </c>
      <c r="E61" s="23">
        <f>IF(OR(C61="",D61=""),"",ABS(C61-D61))</f>
        <v/>
      </c>
      <c r="F61" s="17">
        <f>IF(E61="","",IF(E61&gt;0.15,"REVIEW",""))</f>
        <v/>
      </c>
    </row>
    <row r="62">
      <c r="A62" s="22">
        <f>IF(Companies!$B$14="","",Companies!$B$14)</f>
        <v/>
      </c>
      <c r="B62" s="17" t="inlineStr">
        <is>
          <t>autonomy</t>
        </is>
      </c>
      <c r="C62" s="17">
        <f>IF(OR(Companies!$B$14="",COUNTIFS(Scores!$A$5:$A$256,Companies!$B$14,Scores!$B$5:$B$256,"autonomy",Scores!$D$5:$D$256,"A")=0),"",SUMIFS(Scores!$E$5:$E$256,Scores!$A$5:$A$256,Companies!$B$14,Scores!$B$5:$B$256,"autonomy",Scores!$D$5:$D$256,"A"))</f>
        <v/>
      </c>
      <c r="D62" s="17">
        <f>IF(OR(Companies!$B$14="",COUNTIFS(Scores!$A$5:$A$256,Companies!$B$14,Scores!$B$5:$B$256,"autonomy",Scores!$D$5:$D$256,"B")=0),"",SUMIFS(Scores!$E$5:$E$256,Scores!$A$5:$A$256,Companies!$B$14,Scores!$B$5:$B$256,"autonomy",Scores!$D$5:$D$256,"B"))</f>
        <v/>
      </c>
      <c r="E62" s="23">
        <f>IF(OR(C62="",D62=""),"",ABS(C62-D62))</f>
        <v/>
      </c>
      <c r="F62" s="17">
        <f>IF(E62="","",IF(E62&gt;0.15,"REVIEW",""))</f>
        <v/>
      </c>
    </row>
    <row r="63">
      <c r="A63" s="22">
        <f>IF(Companies!$B$14="","",Companies!$B$14)</f>
        <v/>
      </c>
      <c r="B63" s="17" t="inlineStr">
        <is>
          <t>pace</t>
        </is>
      </c>
      <c r="C63" s="17">
        <f>IF(OR(Companies!$B$14="",COUNTIFS(Scores!$A$5:$A$256,Companies!$B$14,Scores!$B$5:$B$256,"pace",Scores!$D$5:$D$256,"A")=0),"",SUMIFS(Scores!$E$5:$E$256,Scores!$A$5:$A$256,Companies!$B$14,Scores!$B$5:$B$256,"pace",Scores!$D$5:$D$256,"A"))</f>
        <v/>
      </c>
      <c r="D63" s="17">
        <f>IF(OR(Companies!$B$14="",COUNTIFS(Scores!$A$5:$A$256,Companies!$B$14,Scores!$B$5:$B$256,"pace",Scores!$D$5:$D$256,"B")=0),"",SUMIFS(Scores!$E$5:$E$256,Scores!$A$5:$A$256,Companies!$B$14,Scores!$B$5:$B$256,"pace",Scores!$D$5:$D$256,"B"))</f>
        <v/>
      </c>
      <c r="E63" s="23">
        <f>IF(OR(C63="",D63=""),"",ABS(C63-D63))</f>
        <v/>
      </c>
      <c r="F63" s="17">
        <f>IF(E63="","",IF(E63&gt;0.15,"REVIEW",""))</f>
        <v/>
      </c>
    </row>
    <row r="64">
      <c r="A64" s="22">
        <f>IF(Companies!$B$14="","",Companies!$B$14)</f>
        <v/>
      </c>
      <c r="B64" s="17" t="inlineStr">
        <is>
          <t>collaboration</t>
        </is>
      </c>
      <c r="C64" s="17">
        <f>IF(OR(Companies!$B$14="",COUNTIFS(Scores!$A$5:$A$256,Companies!$B$14,Scores!$B$5:$B$256,"collaboration",Scores!$D$5:$D$256,"A")=0),"",SUMIFS(Scores!$E$5:$E$256,Scores!$A$5:$A$256,Companies!$B$14,Scores!$B$5:$B$256,"collaboration",Scores!$D$5:$D$256,"A"))</f>
        <v/>
      </c>
      <c r="D64" s="17">
        <f>IF(OR(Companies!$B$14="",COUNTIFS(Scores!$A$5:$A$256,Companies!$B$14,Scores!$B$5:$B$256,"collaboration",Scores!$D$5:$D$256,"B")=0),"",SUMIFS(Scores!$E$5:$E$256,Scores!$A$5:$A$256,Companies!$B$14,Scores!$B$5:$B$256,"collaboration",Scores!$D$5:$D$256,"B"))</f>
        <v/>
      </c>
      <c r="E64" s="23">
        <f>IF(OR(C64="",D64=""),"",ABS(C64-D64))</f>
        <v/>
      </c>
      <c r="F64" s="17">
        <f>IF(E64="","",IF(E64&gt;0.15,"REVIEW",""))</f>
        <v/>
      </c>
    </row>
    <row r="65">
      <c r="A65" s="22">
        <f>IF(Companies!$B$14="","",Companies!$B$14)</f>
        <v/>
      </c>
      <c r="B65" s="17" t="inlineStr">
        <is>
          <t>feedback</t>
        </is>
      </c>
      <c r="C65" s="17">
        <f>IF(OR(Companies!$B$14="",COUNTIFS(Scores!$A$5:$A$256,Companies!$B$14,Scores!$B$5:$B$256,"feedback",Scores!$D$5:$D$256,"A")=0),"",SUMIFS(Scores!$E$5:$E$256,Scores!$A$5:$A$256,Companies!$B$14,Scores!$B$5:$B$256,"feedback",Scores!$D$5:$D$256,"A"))</f>
        <v/>
      </c>
      <c r="D65" s="17">
        <f>IF(OR(Companies!$B$14="",COUNTIFS(Scores!$A$5:$A$256,Companies!$B$14,Scores!$B$5:$B$256,"feedback",Scores!$D$5:$D$256,"B")=0),"",SUMIFS(Scores!$E$5:$E$256,Scores!$A$5:$A$256,Companies!$B$14,Scores!$B$5:$B$256,"feedback",Scores!$D$5:$D$256,"B"))</f>
        <v/>
      </c>
      <c r="E65" s="23">
        <f>IF(OR(C65="",D65=""),"",ABS(C65-D65))</f>
        <v/>
      </c>
      <c r="F65" s="17">
        <f>IF(E65="","",IF(E65&gt;0.15,"REVIEW",""))</f>
        <v/>
      </c>
    </row>
    <row r="66">
      <c r="A66" s="22">
        <f>IF(Companies!$B$14="","",Companies!$B$14)</f>
        <v/>
      </c>
      <c r="B66" s="17" t="inlineStr">
        <is>
          <t>innovation</t>
        </is>
      </c>
      <c r="C66" s="17">
        <f>IF(OR(Companies!$B$14="",COUNTIFS(Scores!$A$5:$A$256,Companies!$B$14,Scores!$B$5:$B$256,"innovation",Scores!$D$5:$D$256,"A")=0),"",SUMIFS(Scores!$E$5:$E$256,Scores!$A$5:$A$256,Companies!$B$14,Scores!$B$5:$B$256,"innovation",Scores!$D$5:$D$256,"A"))</f>
        <v/>
      </c>
      <c r="D66" s="17">
        <f>IF(OR(Companies!$B$14="",COUNTIFS(Scores!$A$5:$A$256,Companies!$B$14,Scores!$B$5:$B$256,"innovation",Scores!$D$5:$D$256,"B")=0),"",SUMIFS(Scores!$E$5:$E$256,Scores!$A$5:$A$256,Companies!$B$14,Scores!$B$5:$B$256,"innovation",Scores!$D$5:$D$256,"B"))</f>
        <v/>
      </c>
      <c r="E66" s="23">
        <f>IF(OR(C66="",D66=""),"",ABS(C66-D66))</f>
        <v/>
      </c>
      <c r="F66" s="17">
        <f>IF(E66="","",IF(E66&gt;0.15,"REVIEW",""))</f>
        <v/>
      </c>
    </row>
    <row r="67">
      <c r="A67" s="22">
        <f>IF(Companies!$B$14="","",Companies!$B$14)</f>
        <v/>
      </c>
      <c r="B67" s="17" t="inlineStr">
        <is>
          <t>decision</t>
        </is>
      </c>
      <c r="C67" s="17">
        <f>IF(OR(Companies!$B$14="",COUNTIFS(Scores!$A$5:$A$256,Companies!$B$14,Scores!$B$5:$B$256,"decision",Scores!$D$5:$D$256,"A")=0),"",SUMIFS(Scores!$E$5:$E$256,Scores!$A$5:$A$256,Companies!$B$14,Scores!$B$5:$B$256,"decision",Scores!$D$5:$D$256,"A"))</f>
        <v/>
      </c>
      <c r="D67" s="17">
        <f>IF(OR(Companies!$B$14="",COUNTIFS(Scores!$A$5:$A$256,Companies!$B$14,Scores!$B$5:$B$256,"decision",Scores!$D$5:$D$256,"B")=0),"",SUMIFS(Scores!$E$5:$E$256,Scores!$A$5:$A$256,Companies!$B$14,Scores!$B$5:$B$256,"decision",Scores!$D$5:$D$256,"B"))</f>
        <v/>
      </c>
      <c r="E67" s="23">
        <f>IF(OR(C67="",D67=""),"",ABS(C67-D67))</f>
        <v/>
      </c>
      <c r="F67" s="17">
        <f>IF(E67="","",IF(E67&gt;0.15,"REVIEW",""))</f>
        <v/>
      </c>
    </row>
    <row r="68">
      <c r="A68" s="22">
        <f>IF(Companies!$B$15="","",Companies!$B$15)</f>
        <v/>
      </c>
      <c r="B68" s="17" t="inlineStr">
        <is>
          <t>autonomy</t>
        </is>
      </c>
      <c r="C68" s="17">
        <f>IF(OR(Companies!$B$15="",COUNTIFS(Scores!$A$5:$A$256,Companies!$B$15,Scores!$B$5:$B$256,"autonomy",Scores!$D$5:$D$256,"A")=0),"",SUMIFS(Scores!$E$5:$E$256,Scores!$A$5:$A$256,Companies!$B$15,Scores!$B$5:$B$256,"autonomy",Scores!$D$5:$D$256,"A"))</f>
        <v/>
      </c>
      <c r="D68" s="17">
        <f>IF(OR(Companies!$B$15="",COUNTIFS(Scores!$A$5:$A$256,Companies!$B$15,Scores!$B$5:$B$256,"autonomy",Scores!$D$5:$D$256,"B")=0),"",SUMIFS(Scores!$E$5:$E$256,Scores!$A$5:$A$256,Companies!$B$15,Scores!$B$5:$B$256,"autonomy",Scores!$D$5:$D$256,"B"))</f>
        <v/>
      </c>
      <c r="E68" s="23">
        <f>IF(OR(C68="",D68=""),"",ABS(C68-D68))</f>
        <v/>
      </c>
      <c r="F68" s="17">
        <f>IF(E68="","",IF(E68&gt;0.15,"REVIEW",""))</f>
        <v/>
      </c>
    </row>
    <row r="69">
      <c r="A69" s="22">
        <f>IF(Companies!$B$15="","",Companies!$B$15)</f>
        <v/>
      </c>
      <c r="B69" s="17" t="inlineStr">
        <is>
          <t>pace</t>
        </is>
      </c>
      <c r="C69" s="17">
        <f>IF(OR(Companies!$B$15="",COUNTIFS(Scores!$A$5:$A$256,Companies!$B$15,Scores!$B$5:$B$256,"pace",Scores!$D$5:$D$256,"A")=0),"",SUMIFS(Scores!$E$5:$E$256,Scores!$A$5:$A$256,Companies!$B$15,Scores!$B$5:$B$256,"pace",Scores!$D$5:$D$256,"A"))</f>
        <v/>
      </c>
      <c r="D69" s="17">
        <f>IF(OR(Companies!$B$15="",COUNTIFS(Scores!$A$5:$A$256,Companies!$B$15,Scores!$B$5:$B$256,"pace",Scores!$D$5:$D$256,"B")=0),"",SUMIFS(Scores!$E$5:$E$256,Scores!$A$5:$A$256,Companies!$B$15,Scores!$B$5:$B$256,"pace",Scores!$D$5:$D$256,"B"))</f>
        <v/>
      </c>
      <c r="E69" s="23">
        <f>IF(OR(C69="",D69=""),"",ABS(C69-D69))</f>
        <v/>
      </c>
      <c r="F69" s="17">
        <f>IF(E69="","",IF(E69&gt;0.15,"REVIEW",""))</f>
        <v/>
      </c>
    </row>
    <row r="70">
      <c r="A70" s="22">
        <f>IF(Companies!$B$15="","",Companies!$B$15)</f>
        <v/>
      </c>
      <c r="B70" s="17" t="inlineStr">
        <is>
          <t>collaboration</t>
        </is>
      </c>
      <c r="C70" s="17">
        <f>IF(OR(Companies!$B$15="",COUNTIFS(Scores!$A$5:$A$256,Companies!$B$15,Scores!$B$5:$B$256,"collaboration",Scores!$D$5:$D$256,"A")=0),"",SUMIFS(Scores!$E$5:$E$256,Scores!$A$5:$A$256,Companies!$B$15,Scores!$B$5:$B$256,"collaboration",Scores!$D$5:$D$256,"A"))</f>
        <v/>
      </c>
      <c r="D70" s="17">
        <f>IF(OR(Companies!$B$15="",COUNTIFS(Scores!$A$5:$A$256,Companies!$B$15,Scores!$B$5:$B$256,"collaboration",Scores!$D$5:$D$256,"B")=0),"",SUMIFS(Scores!$E$5:$E$256,Scores!$A$5:$A$256,Companies!$B$15,Scores!$B$5:$B$256,"collaboration",Scores!$D$5:$D$256,"B"))</f>
        <v/>
      </c>
      <c r="E70" s="23">
        <f>IF(OR(C70="",D70=""),"",ABS(C70-D70))</f>
        <v/>
      </c>
      <c r="F70" s="17">
        <f>IF(E70="","",IF(E70&gt;0.15,"REVIEW",""))</f>
        <v/>
      </c>
    </row>
    <row r="71">
      <c r="A71" s="22">
        <f>IF(Companies!$B$15="","",Companies!$B$15)</f>
        <v/>
      </c>
      <c r="B71" s="17" t="inlineStr">
        <is>
          <t>feedback</t>
        </is>
      </c>
      <c r="C71" s="17">
        <f>IF(OR(Companies!$B$15="",COUNTIFS(Scores!$A$5:$A$256,Companies!$B$15,Scores!$B$5:$B$256,"feedback",Scores!$D$5:$D$256,"A")=0),"",SUMIFS(Scores!$E$5:$E$256,Scores!$A$5:$A$256,Companies!$B$15,Scores!$B$5:$B$256,"feedback",Scores!$D$5:$D$256,"A"))</f>
        <v/>
      </c>
      <c r="D71" s="17">
        <f>IF(OR(Companies!$B$15="",COUNTIFS(Scores!$A$5:$A$256,Companies!$B$15,Scores!$B$5:$B$256,"feedback",Scores!$D$5:$D$256,"B")=0),"",SUMIFS(Scores!$E$5:$E$256,Scores!$A$5:$A$256,Companies!$B$15,Scores!$B$5:$B$256,"feedback",Scores!$D$5:$D$256,"B"))</f>
        <v/>
      </c>
      <c r="E71" s="23">
        <f>IF(OR(C71="",D71=""),"",ABS(C71-D71))</f>
        <v/>
      </c>
      <c r="F71" s="17">
        <f>IF(E71="","",IF(E71&gt;0.15,"REVIEW",""))</f>
        <v/>
      </c>
    </row>
    <row r="72">
      <c r="A72" s="22">
        <f>IF(Companies!$B$15="","",Companies!$B$15)</f>
        <v/>
      </c>
      <c r="B72" s="17" t="inlineStr">
        <is>
          <t>innovation</t>
        </is>
      </c>
      <c r="C72" s="17">
        <f>IF(OR(Companies!$B$15="",COUNTIFS(Scores!$A$5:$A$256,Companies!$B$15,Scores!$B$5:$B$256,"innovation",Scores!$D$5:$D$256,"A")=0),"",SUMIFS(Scores!$E$5:$E$256,Scores!$A$5:$A$256,Companies!$B$15,Scores!$B$5:$B$256,"innovation",Scores!$D$5:$D$256,"A"))</f>
        <v/>
      </c>
      <c r="D72" s="17">
        <f>IF(OR(Companies!$B$15="",COUNTIFS(Scores!$A$5:$A$256,Companies!$B$15,Scores!$B$5:$B$256,"innovation",Scores!$D$5:$D$256,"B")=0),"",SUMIFS(Scores!$E$5:$E$256,Scores!$A$5:$A$256,Companies!$B$15,Scores!$B$5:$B$256,"innovation",Scores!$D$5:$D$256,"B"))</f>
        <v/>
      </c>
      <c r="E72" s="23">
        <f>IF(OR(C72="",D72=""),"",ABS(C72-D72))</f>
        <v/>
      </c>
      <c r="F72" s="17">
        <f>IF(E72="","",IF(E72&gt;0.15,"REVIEW",""))</f>
        <v/>
      </c>
    </row>
    <row r="73">
      <c r="A73" s="22">
        <f>IF(Companies!$B$15="","",Companies!$B$15)</f>
        <v/>
      </c>
      <c r="B73" s="17" t="inlineStr">
        <is>
          <t>decision</t>
        </is>
      </c>
      <c r="C73" s="17">
        <f>IF(OR(Companies!$B$15="",COUNTIFS(Scores!$A$5:$A$256,Companies!$B$15,Scores!$B$5:$B$256,"decision",Scores!$D$5:$D$256,"A")=0),"",SUMIFS(Scores!$E$5:$E$256,Scores!$A$5:$A$256,Companies!$B$15,Scores!$B$5:$B$256,"decision",Scores!$D$5:$D$256,"A"))</f>
        <v/>
      </c>
      <c r="D73" s="17">
        <f>IF(OR(Companies!$B$15="",COUNTIFS(Scores!$A$5:$A$256,Companies!$B$15,Scores!$B$5:$B$256,"decision",Scores!$D$5:$D$256,"B")=0),"",SUMIFS(Scores!$E$5:$E$256,Scores!$A$5:$A$256,Companies!$B$15,Scores!$B$5:$B$256,"decision",Scores!$D$5:$D$256,"B"))</f>
        <v/>
      </c>
      <c r="E73" s="23">
        <f>IF(OR(C73="",D73=""),"",ABS(C73-D73))</f>
        <v/>
      </c>
      <c r="F73" s="17">
        <f>IF(E73="","",IF(E73&gt;0.15,"REVIEW",""))</f>
        <v/>
      </c>
    </row>
    <row r="74">
      <c r="A74" s="22">
        <f>IF(Companies!$B$16="","",Companies!$B$16)</f>
        <v/>
      </c>
      <c r="B74" s="17" t="inlineStr">
        <is>
          <t>autonomy</t>
        </is>
      </c>
      <c r="C74" s="17">
        <f>IF(OR(Companies!$B$16="",COUNTIFS(Scores!$A$5:$A$256,Companies!$B$16,Scores!$B$5:$B$256,"autonomy",Scores!$D$5:$D$256,"A")=0),"",SUMIFS(Scores!$E$5:$E$256,Scores!$A$5:$A$256,Companies!$B$16,Scores!$B$5:$B$256,"autonomy",Scores!$D$5:$D$256,"A"))</f>
        <v/>
      </c>
      <c r="D74" s="17">
        <f>IF(OR(Companies!$B$16="",COUNTIFS(Scores!$A$5:$A$256,Companies!$B$16,Scores!$B$5:$B$256,"autonomy",Scores!$D$5:$D$256,"B")=0),"",SUMIFS(Scores!$E$5:$E$256,Scores!$A$5:$A$256,Companies!$B$16,Scores!$B$5:$B$256,"autonomy",Scores!$D$5:$D$256,"B"))</f>
        <v/>
      </c>
      <c r="E74" s="23">
        <f>IF(OR(C74="",D74=""),"",ABS(C74-D74))</f>
        <v/>
      </c>
      <c r="F74" s="17">
        <f>IF(E74="","",IF(E74&gt;0.15,"REVIEW",""))</f>
        <v/>
      </c>
    </row>
    <row r="75">
      <c r="A75" s="22">
        <f>IF(Companies!$B$16="","",Companies!$B$16)</f>
        <v/>
      </c>
      <c r="B75" s="17" t="inlineStr">
        <is>
          <t>pace</t>
        </is>
      </c>
      <c r="C75" s="17">
        <f>IF(OR(Companies!$B$16="",COUNTIFS(Scores!$A$5:$A$256,Companies!$B$16,Scores!$B$5:$B$256,"pace",Scores!$D$5:$D$256,"A")=0),"",SUMIFS(Scores!$E$5:$E$256,Scores!$A$5:$A$256,Companies!$B$16,Scores!$B$5:$B$256,"pace",Scores!$D$5:$D$256,"A"))</f>
        <v/>
      </c>
      <c r="D75" s="17">
        <f>IF(OR(Companies!$B$16="",COUNTIFS(Scores!$A$5:$A$256,Companies!$B$16,Scores!$B$5:$B$256,"pace",Scores!$D$5:$D$256,"B")=0),"",SUMIFS(Scores!$E$5:$E$256,Scores!$A$5:$A$256,Companies!$B$16,Scores!$B$5:$B$256,"pace",Scores!$D$5:$D$256,"B"))</f>
        <v/>
      </c>
      <c r="E75" s="23">
        <f>IF(OR(C75="",D75=""),"",ABS(C75-D75))</f>
        <v/>
      </c>
      <c r="F75" s="17">
        <f>IF(E75="","",IF(E75&gt;0.15,"REVIEW",""))</f>
        <v/>
      </c>
    </row>
    <row r="76">
      <c r="A76" s="22">
        <f>IF(Companies!$B$16="","",Companies!$B$16)</f>
        <v/>
      </c>
      <c r="B76" s="17" t="inlineStr">
        <is>
          <t>collaboration</t>
        </is>
      </c>
      <c r="C76" s="17">
        <f>IF(OR(Companies!$B$16="",COUNTIFS(Scores!$A$5:$A$256,Companies!$B$16,Scores!$B$5:$B$256,"collaboration",Scores!$D$5:$D$256,"A")=0),"",SUMIFS(Scores!$E$5:$E$256,Scores!$A$5:$A$256,Companies!$B$16,Scores!$B$5:$B$256,"collaboration",Scores!$D$5:$D$256,"A"))</f>
        <v/>
      </c>
      <c r="D76" s="17">
        <f>IF(OR(Companies!$B$16="",COUNTIFS(Scores!$A$5:$A$256,Companies!$B$16,Scores!$B$5:$B$256,"collaboration",Scores!$D$5:$D$256,"B")=0),"",SUMIFS(Scores!$E$5:$E$256,Scores!$A$5:$A$256,Companies!$B$16,Scores!$B$5:$B$256,"collaboration",Scores!$D$5:$D$256,"B"))</f>
        <v/>
      </c>
      <c r="E76" s="23">
        <f>IF(OR(C76="",D76=""),"",ABS(C76-D76))</f>
        <v/>
      </c>
      <c r="F76" s="17">
        <f>IF(E76="","",IF(E76&gt;0.15,"REVIEW",""))</f>
        <v/>
      </c>
    </row>
    <row r="77">
      <c r="A77" s="22">
        <f>IF(Companies!$B$16="","",Companies!$B$16)</f>
        <v/>
      </c>
      <c r="B77" s="17" t="inlineStr">
        <is>
          <t>feedback</t>
        </is>
      </c>
      <c r="C77" s="17">
        <f>IF(OR(Companies!$B$16="",COUNTIFS(Scores!$A$5:$A$256,Companies!$B$16,Scores!$B$5:$B$256,"feedback",Scores!$D$5:$D$256,"A")=0),"",SUMIFS(Scores!$E$5:$E$256,Scores!$A$5:$A$256,Companies!$B$16,Scores!$B$5:$B$256,"feedback",Scores!$D$5:$D$256,"A"))</f>
        <v/>
      </c>
      <c r="D77" s="17">
        <f>IF(OR(Companies!$B$16="",COUNTIFS(Scores!$A$5:$A$256,Companies!$B$16,Scores!$B$5:$B$256,"feedback",Scores!$D$5:$D$256,"B")=0),"",SUMIFS(Scores!$E$5:$E$256,Scores!$A$5:$A$256,Companies!$B$16,Scores!$B$5:$B$256,"feedback",Scores!$D$5:$D$256,"B"))</f>
        <v/>
      </c>
      <c r="E77" s="23">
        <f>IF(OR(C77="",D77=""),"",ABS(C77-D77))</f>
        <v/>
      </c>
      <c r="F77" s="17">
        <f>IF(E77="","",IF(E77&gt;0.15,"REVIEW",""))</f>
        <v/>
      </c>
    </row>
    <row r="78">
      <c r="A78" s="22">
        <f>IF(Companies!$B$16="","",Companies!$B$16)</f>
        <v/>
      </c>
      <c r="B78" s="17" t="inlineStr">
        <is>
          <t>innovation</t>
        </is>
      </c>
      <c r="C78" s="17">
        <f>IF(OR(Companies!$B$16="",COUNTIFS(Scores!$A$5:$A$256,Companies!$B$16,Scores!$B$5:$B$256,"innovation",Scores!$D$5:$D$256,"A")=0),"",SUMIFS(Scores!$E$5:$E$256,Scores!$A$5:$A$256,Companies!$B$16,Scores!$B$5:$B$256,"innovation",Scores!$D$5:$D$256,"A"))</f>
        <v/>
      </c>
      <c r="D78" s="17">
        <f>IF(OR(Companies!$B$16="",COUNTIFS(Scores!$A$5:$A$256,Companies!$B$16,Scores!$B$5:$B$256,"innovation",Scores!$D$5:$D$256,"B")=0),"",SUMIFS(Scores!$E$5:$E$256,Scores!$A$5:$A$256,Companies!$B$16,Scores!$B$5:$B$256,"innovation",Scores!$D$5:$D$256,"B"))</f>
        <v/>
      </c>
      <c r="E78" s="23">
        <f>IF(OR(C78="",D78=""),"",ABS(C78-D78))</f>
        <v/>
      </c>
      <c r="F78" s="17">
        <f>IF(E78="","",IF(E78&gt;0.15,"REVIEW",""))</f>
        <v/>
      </c>
    </row>
    <row r="79">
      <c r="A79" s="22">
        <f>IF(Companies!$B$16="","",Companies!$B$16)</f>
        <v/>
      </c>
      <c r="B79" s="17" t="inlineStr">
        <is>
          <t>decision</t>
        </is>
      </c>
      <c r="C79" s="17">
        <f>IF(OR(Companies!$B$16="",COUNTIFS(Scores!$A$5:$A$256,Companies!$B$16,Scores!$B$5:$B$256,"decision",Scores!$D$5:$D$256,"A")=0),"",SUMIFS(Scores!$E$5:$E$256,Scores!$A$5:$A$256,Companies!$B$16,Scores!$B$5:$B$256,"decision",Scores!$D$5:$D$256,"A"))</f>
        <v/>
      </c>
      <c r="D79" s="17">
        <f>IF(OR(Companies!$B$16="",COUNTIFS(Scores!$A$5:$A$256,Companies!$B$16,Scores!$B$5:$B$256,"decision",Scores!$D$5:$D$256,"B")=0),"",SUMIFS(Scores!$E$5:$E$256,Scores!$A$5:$A$256,Companies!$B$16,Scores!$B$5:$B$256,"decision",Scores!$D$5:$D$256,"B"))</f>
        <v/>
      </c>
      <c r="E79" s="23">
        <f>IF(OR(C79="",D79=""),"",ABS(C79-D79))</f>
        <v/>
      </c>
      <c r="F79" s="17">
        <f>IF(E79="","",IF(E79&gt;0.15,"REVIEW",""))</f>
        <v/>
      </c>
    </row>
    <row r="80">
      <c r="A80" s="22">
        <f>IF(Companies!$B$17="","",Companies!$B$17)</f>
        <v/>
      </c>
      <c r="B80" s="17" t="inlineStr">
        <is>
          <t>autonomy</t>
        </is>
      </c>
      <c r="C80" s="17">
        <f>IF(OR(Companies!$B$17="",COUNTIFS(Scores!$A$5:$A$256,Companies!$B$17,Scores!$B$5:$B$256,"autonomy",Scores!$D$5:$D$256,"A")=0),"",SUMIFS(Scores!$E$5:$E$256,Scores!$A$5:$A$256,Companies!$B$17,Scores!$B$5:$B$256,"autonomy",Scores!$D$5:$D$256,"A"))</f>
        <v/>
      </c>
      <c r="D80" s="17">
        <f>IF(OR(Companies!$B$17="",COUNTIFS(Scores!$A$5:$A$256,Companies!$B$17,Scores!$B$5:$B$256,"autonomy",Scores!$D$5:$D$256,"B")=0),"",SUMIFS(Scores!$E$5:$E$256,Scores!$A$5:$A$256,Companies!$B$17,Scores!$B$5:$B$256,"autonomy",Scores!$D$5:$D$256,"B"))</f>
        <v/>
      </c>
      <c r="E80" s="23">
        <f>IF(OR(C80="",D80=""),"",ABS(C80-D80))</f>
        <v/>
      </c>
      <c r="F80" s="17">
        <f>IF(E80="","",IF(E80&gt;0.15,"REVIEW",""))</f>
        <v/>
      </c>
    </row>
    <row r="81">
      <c r="A81" s="22">
        <f>IF(Companies!$B$17="","",Companies!$B$17)</f>
        <v/>
      </c>
      <c r="B81" s="17" t="inlineStr">
        <is>
          <t>pace</t>
        </is>
      </c>
      <c r="C81" s="17">
        <f>IF(OR(Companies!$B$17="",COUNTIFS(Scores!$A$5:$A$256,Companies!$B$17,Scores!$B$5:$B$256,"pace",Scores!$D$5:$D$256,"A")=0),"",SUMIFS(Scores!$E$5:$E$256,Scores!$A$5:$A$256,Companies!$B$17,Scores!$B$5:$B$256,"pace",Scores!$D$5:$D$256,"A"))</f>
        <v/>
      </c>
      <c r="D81" s="17">
        <f>IF(OR(Companies!$B$17="",COUNTIFS(Scores!$A$5:$A$256,Companies!$B$17,Scores!$B$5:$B$256,"pace",Scores!$D$5:$D$256,"B")=0),"",SUMIFS(Scores!$E$5:$E$256,Scores!$A$5:$A$256,Companies!$B$17,Scores!$B$5:$B$256,"pace",Scores!$D$5:$D$256,"B"))</f>
        <v/>
      </c>
      <c r="E81" s="23">
        <f>IF(OR(C81="",D81=""),"",ABS(C81-D81))</f>
        <v/>
      </c>
      <c r="F81" s="17">
        <f>IF(E81="","",IF(E81&gt;0.15,"REVIEW",""))</f>
        <v/>
      </c>
    </row>
    <row r="82">
      <c r="A82" s="22">
        <f>IF(Companies!$B$17="","",Companies!$B$17)</f>
        <v/>
      </c>
      <c r="B82" s="17" t="inlineStr">
        <is>
          <t>collaboration</t>
        </is>
      </c>
      <c r="C82" s="17">
        <f>IF(OR(Companies!$B$17="",COUNTIFS(Scores!$A$5:$A$256,Companies!$B$17,Scores!$B$5:$B$256,"collaboration",Scores!$D$5:$D$256,"A")=0),"",SUMIFS(Scores!$E$5:$E$256,Scores!$A$5:$A$256,Companies!$B$17,Scores!$B$5:$B$256,"collaboration",Scores!$D$5:$D$256,"A"))</f>
        <v/>
      </c>
      <c r="D82" s="17">
        <f>IF(OR(Companies!$B$17="",COUNTIFS(Scores!$A$5:$A$256,Companies!$B$17,Scores!$B$5:$B$256,"collaboration",Scores!$D$5:$D$256,"B")=0),"",SUMIFS(Scores!$E$5:$E$256,Scores!$A$5:$A$256,Companies!$B$17,Scores!$B$5:$B$256,"collaboration",Scores!$D$5:$D$256,"B"))</f>
        <v/>
      </c>
      <c r="E82" s="23">
        <f>IF(OR(C82="",D82=""),"",ABS(C82-D82))</f>
        <v/>
      </c>
      <c r="F82" s="17">
        <f>IF(E82="","",IF(E82&gt;0.15,"REVIEW",""))</f>
        <v/>
      </c>
    </row>
    <row r="83">
      <c r="A83" s="22">
        <f>IF(Companies!$B$17="","",Companies!$B$17)</f>
        <v/>
      </c>
      <c r="B83" s="17" t="inlineStr">
        <is>
          <t>feedback</t>
        </is>
      </c>
      <c r="C83" s="17">
        <f>IF(OR(Companies!$B$17="",COUNTIFS(Scores!$A$5:$A$256,Companies!$B$17,Scores!$B$5:$B$256,"feedback",Scores!$D$5:$D$256,"A")=0),"",SUMIFS(Scores!$E$5:$E$256,Scores!$A$5:$A$256,Companies!$B$17,Scores!$B$5:$B$256,"feedback",Scores!$D$5:$D$256,"A"))</f>
        <v/>
      </c>
      <c r="D83" s="17">
        <f>IF(OR(Companies!$B$17="",COUNTIFS(Scores!$A$5:$A$256,Companies!$B$17,Scores!$B$5:$B$256,"feedback",Scores!$D$5:$D$256,"B")=0),"",SUMIFS(Scores!$E$5:$E$256,Scores!$A$5:$A$256,Companies!$B$17,Scores!$B$5:$B$256,"feedback",Scores!$D$5:$D$256,"B"))</f>
        <v/>
      </c>
      <c r="E83" s="23">
        <f>IF(OR(C83="",D83=""),"",ABS(C83-D83))</f>
        <v/>
      </c>
      <c r="F83" s="17">
        <f>IF(E83="","",IF(E83&gt;0.15,"REVIEW",""))</f>
        <v/>
      </c>
    </row>
    <row r="84">
      <c r="A84" s="22">
        <f>IF(Companies!$B$17="","",Companies!$B$17)</f>
        <v/>
      </c>
      <c r="B84" s="17" t="inlineStr">
        <is>
          <t>innovation</t>
        </is>
      </c>
      <c r="C84" s="17">
        <f>IF(OR(Companies!$B$17="",COUNTIFS(Scores!$A$5:$A$256,Companies!$B$17,Scores!$B$5:$B$256,"innovation",Scores!$D$5:$D$256,"A")=0),"",SUMIFS(Scores!$E$5:$E$256,Scores!$A$5:$A$256,Companies!$B$17,Scores!$B$5:$B$256,"innovation",Scores!$D$5:$D$256,"A"))</f>
        <v/>
      </c>
      <c r="D84" s="17">
        <f>IF(OR(Companies!$B$17="",COUNTIFS(Scores!$A$5:$A$256,Companies!$B$17,Scores!$B$5:$B$256,"innovation",Scores!$D$5:$D$256,"B")=0),"",SUMIFS(Scores!$E$5:$E$256,Scores!$A$5:$A$256,Companies!$B$17,Scores!$B$5:$B$256,"innovation",Scores!$D$5:$D$256,"B"))</f>
        <v/>
      </c>
      <c r="E84" s="23">
        <f>IF(OR(C84="",D84=""),"",ABS(C84-D84))</f>
        <v/>
      </c>
      <c r="F84" s="17">
        <f>IF(E84="","",IF(E84&gt;0.15,"REVIEW",""))</f>
        <v/>
      </c>
    </row>
    <row r="85">
      <c r="A85" s="22">
        <f>IF(Companies!$B$17="","",Companies!$B$17)</f>
        <v/>
      </c>
      <c r="B85" s="17" t="inlineStr">
        <is>
          <t>decision</t>
        </is>
      </c>
      <c r="C85" s="17">
        <f>IF(OR(Companies!$B$17="",COUNTIFS(Scores!$A$5:$A$256,Companies!$B$17,Scores!$B$5:$B$256,"decision",Scores!$D$5:$D$256,"A")=0),"",SUMIFS(Scores!$E$5:$E$256,Scores!$A$5:$A$256,Companies!$B$17,Scores!$B$5:$B$256,"decision",Scores!$D$5:$D$256,"A"))</f>
        <v/>
      </c>
      <c r="D85" s="17">
        <f>IF(OR(Companies!$B$17="",COUNTIFS(Scores!$A$5:$A$256,Companies!$B$17,Scores!$B$5:$B$256,"decision",Scores!$D$5:$D$256,"B")=0),"",SUMIFS(Scores!$E$5:$E$256,Scores!$A$5:$A$256,Companies!$B$17,Scores!$B$5:$B$256,"decision",Scores!$D$5:$D$256,"B"))</f>
        <v/>
      </c>
      <c r="E85" s="23">
        <f>IF(OR(C85="",D85=""),"",ABS(C85-D85))</f>
        <v/>
      </c>
      <c r="F85" s="17">
        <f>IF(E85="","",IF(E85&gt;0.15,"REVIEW",""))</f>
        <v/>
      </c>
    </row>
    <row r="86">
      <c r="A86" s="22">
        <f>IF(Companies!$B$18="","",Companies!$B$18)</f>
        <v/>
      </c>
      <c r="B86" s="17" t="inlineStr">
        <is>
          <t>autonomy</t>
        </is>
      </c>
      <c r="C86" s="17">
        <f>IF(OR(Companies!$B$18="",COUNTIFS(Scores!$A$5:$A$256,Companies!$B$18,Scores!$B$5:$B$256,"autonomy",Scores!$D$5:$D$256,"A")=0),"",SUMIFS(Scores!$E$5:$E$256,Scores!$A$5:$A$256,Companies!$B$18,Scores!$B$5:$B$256,"autonomy",Scores!$D$5:$D$256,"A"))</f>
        <v/>
      </c>
      <c r="D86" s="17">
        <f>IF(OR(Companies!$B$18="",COUNTIFS(Scores!$A$5:$A$256,Companies!$B$18,Scores!$B$5:$B$256,"autonomy",Scores!$D$5:$D$256,"B")=0),"",SUMIFS(Scores!$E$5:$E$256,Scores!$A$5:$A$256,Companies!$B$18,Scores!$B$5:$B$256,"autonomy",Scores!$D$5:$D$256,"B"))</f>
        <v/>
      </c>
      <c r="E86" s="23">
        <f>IF(OR(C86="",D86=""),"",ABS(C86-D86))</f>
        <v/>
      </c>
      <c r="F86" s="17">
        <f>IF(E86="","",IF(E86&gt;0.15,"REVIEW",""))</f>
        <v/>
      </c>
    </row>
    <row r="87">
      <c r="A87" s="22">
        <f>IF(Companies!$B$18="","",Companies!$B$18)</f>
        <v/>
      </c>
      <c r="B87" s="17" t="inlineStr">
        <is>
          <t>pace</t>
        </is>
      </c>
      <c r="C87" s="17">
        <f>IF(OR(Companies!$B$18="",COUNTIFS(Scores!$A$5:$A$256,Companies!$B$18,Scores!$B$5:$B$256,"pace",Scores!$D$5:$D$256,"A")=0),"",SUMIFS(Scores!$E$5:$E$256,Scores!$A$5:$A$256,Companies!$B$18,Scores!$B$5:$B$256,"pace",Scores!$D$5:$D$256,"A"))</f>
        <v/>
      </c>
      <c r="D87" s="17">
        <f>IF(OR(Companies!$B$18="",COUNTIFS(Scores!$A$5:$A$256,Companies!$B$18,Scores!$B$5:$B$256,"pace",Scores!$D$5:$D$256,"B")=0),"",SUMIFS(Scores!$E$5:$E$256,Scores!$A$5:$A$256,Companies!$B$18,Scores!$B$5:$B$256,"pace",Scores!$D$5:$D$256,"B"))</f>
        <v/>
      </c>
      <c r="E87" s="23">
        <f>IF(OR(C87="",D87=""),"",ABS(C87-D87))</f>
        <v/>
      </c>
      <c r="F87" s="17">
        <f>IF(E87="","",IF(E87&gt;0.15,"REVIEW",""))</f>
        <v/>
      </c>
    </row>
    <row r="88">
      <c r="A88" s="22">
        <f>IF(Companies!$B$18="","",Companies!$B$18)</f>
        <v/>
      </c>
      <c r="B88" s="17" t="inlineStr">
        <is>
          <t>collaboration</t>
        </is>
      </c>
      <c r="C88" s="17">
        <f>IF(OR(Companies!$B$18="",COUNTIFS(Scores!$A$5:$A$256,Companies!$B$18,Scores!$B$5:$B$256,"collaboration",Scores!$D$5:$D$256,"A")=0),"",SUMIFS(Scores!$E$5:$E$256,Scores!$A$5:$A$256,Companies!$B$18,Scores!$B$5:$B$256,"collaboration",Scores!$D$5:$D$256,"A"))</f>
        <v/>
      </c>
      <c r="D88" s="17">
        <f>IF(OR(Companies!$B$18="",COUNTIFS(Scores!$A$5:$A$256,Companies!$B$18,Scores!$B$5:$B$256,"collaboration",Scores!$D$5:$D$256,"B")=0),"",SUMIFS(Scores!$E$5:$E$256,Scores!$A$5:$A$256,Companies!$B$18,Scores!$B$5:$B$256,"collaboration",Scores!$D$5:$D$256,"B"))</f>
        <v/>
      </c>
      <c r="E88" s="23">
        <f>IF(OR(C88="",D88=""),"",ABS(C88-D88))</f>
        <v/>
      </c>
      <c r="F88" s="17">
        <f>IF(E88="","",IF(E88&gt;0.15,"REVIEW",""))</f>
        <v/>
      </c>
    </row>
    <row r="89">
      <c r="A89" s="22">
        <f>IF(Companies!$B$18="","",Companies!$B$18)</f>
        <v/>
      </c>
      <c r="B89" s="17" t="inlineStr">
        <is>
          <t>feedback</t>
        </is>
      </c>
      <c r="C89" s="17">
        <f>IF(OR(Companies!$B$18="",COUNTIFS(Scores!$A$5:$A$256,Companies!$B$18,Scores!$B$5:$B$256,"feedback",Scores!$D$5:$D$256,"A")=0),"",SUMIFS(Scores!$E$5:$E$256,Scores!$A$5:$A$256,Companies!$B$18,Scores!$B$5:$B$256,"feedback",Scores!$D$5:$D$256,"A"))</f>
        <v/>
      </c>
      <c r="D89" s="17">
        <f>IF(OR(Companies!$B$18="",COUNTIFS(Scores!$A$5:$A$256,Companies!$B$18,Scores!$B$5:$B$256,"feedback",Scores!$D$5:$D$256,"B")=0),"",SUMIFS(Scores!$E$5:$E$256,Scores!$A$5:$A$256,Companies!$B$18,Scores!$B$5:$B$256,"feedback",Scores!$D$5:$D$256,"B"))</f>
        <v/>
      </c>
      <c r="E89" s="23">
        <f>IF(OR(C89="",D89=""),"",ABS(C89-D89))</f>
        <v/>
      </c>
      <c r="F89" s="17">
        <f>IF(E89="","",IF(E89&gt;0.15,"REVIEW",""))</f>
        <v/>
      </c>
    </row>
    <row r="90">
      <c r="A90" s="22">
        <f>IF(Companies!$B$18="","",Companies!$B$18)</f>
        <v/>
      </c>
      <c r="B90" s="17" t="inlineStr">
        <is>
          <t>innovation</t>
        </is>
      </c>
      <c r="C90" s="17">
        <f>IF(OR(Companies!$B$18="",COUNTIFS(Scores!$A$5:$A$256,Companies!$B$18,Scores!$B$5:$B$256,"innovation",Scores!$D$5:$D$256,"A")=0),"",SUMIFS(Scores!$E$5:$E$256,Scores!$A$5:$A$256,Companies!$B$18,Scores!$B$5:$B$256,"innovation",Scores!$D$5:$D$256,"A"))</f>
        <v/>
      </c>
      <c r="D90" s="17">
        <f>IF(OR(Companies!$B$18="",COUNTIFS(Scores!$A$5:$A$256,Companies!$B$18,Scores!$B$5:$B$256,"innovation",Scores!$D$5:$D$256,"B")=0),"",SUMIFS(Scores!$E$5:$E$256,Scores!$A$5:$A$256,Companies!$B$18,Scores!$B$5:$B$256,"innovation",Scores!$D$5:$D$256,"B"))</f>
        <v/>
      </c>
      <c r="E90" s="23">
        <f>IF(OR(C90="",D90=""),"",ABS(C90-D90))</f>
        <v/>
      </c>
      <c r="F90" s="17">
        <f>IF(E90="","",IF(E90&gt;0.15,"REVIEW",""))</f>
        <v/>
      </c>
    </row>
    <row r="91">
      <c r="A91" s="22">
        <f>IF(Companies!$B$18="","",Companies!$B$18)</f>
        <v/>
      </c>
      <c r="B91" s="17" t="inlineStr">
        <is>
          <t>decision</t>
        </is>
      </c>
      <c r="C91" s="17">
        <f>IF(OR(Companies!$B$18="",COUNTIFS(Scores!$A$5:$A$256,Companies!$B$18,Scores!$B$5:$B$256,"decision",Scores!$D$5:$D$256,"A")=0),"",SUMIFS(Scores!$E$5:$E$256,Scores!$A$5:$A$256,Companies!$B$18,Scores!$B$5:$B$256,"decision",Scores!$D$5:$D$256,"A"))</f>
        <v/>
      </c>
      <c r="D91" s="17">
        <f>IF(OR(Companies!$B$18="",COUNTIFS(Scores!$A$5:$A$256,Companies!$B$18,Scores!$B$5:$B$256,"decision",Scores!$D$5:$D$256,"B")=0),"",SUMIFS(Scores!$E$5:$E$256,Scores!$A$5:$A$256,Companies!$B$18,Scores!$B$5:$B$256,"decision",Scores!$D$5:$D$256,"B"))</f>
        <v/>
      </c>
      <c r="E91" s="23">
        <f>IF(OR(C91="",D91=""),"",ABS(C91-D91))</f>
        <v/>
      </c>
      <c r="F91" s="17">
        <f>IF(E91="","",IF(E91&gt;0.15,"REVIEW",""))</f>
        <v/>
      </c>
    </row>
    <row r="92">
      <c r="A92" s="22">
        <f>IF(Companies!$B$19="","",Companies!$B$19)</f>
        <v/>
      </c>
      <c r="B92" s="17" t="inlineStr">
        <is>
          <t>autonomy</t>
        </is>
      </c>
      <c r="C92" s="17">
        <f>IF(OR(Companies!$B$19="",COUNTIFS(Scores!$A$5:$A$256,Companies!$B$19,Scores!$B$5:$B$256,"autonomy",Scores!$D$5:$D$256,"A")=0),"",SUMIFS(Scores!$E$5:$E$256,Scores!$A$5:$A$256,Companies!$B$19,Scores!$B$5:$B$256,"autonomy",Scores!$D$5:$D$256,"A"))</f>
        <v/>
      </c>
      <c r="D92" s="17">
        <f>IF(OR(Companies!$B$19="",COUNTIFS(Scores!$A$5:$A$256,Companies!$B$19,Scores!$B$5:$B$256,"autonomy",Scores!$D$5:$D$256,"B")=0),"",SUMIFS(Scores!$E$5:$E$256,Scores!$A$5:$A$256,Companies!$B$19,Scores!$B$5:$B$256,"autonomy",Scores!$D$5:$D$256,"B"))</f>
        <v/>
      </c>
      <c r="E92" s="23">
        <f>IF(OR(C92="",D92=""),"",ABS(C92-D92))</f>
        <v/>
      </c>
      <c r="F92" s="17">
        <f>IF(E92="","",IF(E92&gt;0.15,"REVIEW",""))</f>
        <v/>
      </c>
    </row>
    <row r="93">
      <c r="A93" s="22">
        <f>IF(Companies!$B$19="","",Companies!$B$19)</f>
        <v/>
      </c>
      <c r="B93" s="17" t="inlineStr">
        <is>
          <t>pace</t>
        </is>
      </c>
      <c r="C93" s="17">
        <f>IF(OR(Companies!$B$19="",COUNTIFS(Scores!$A$5:$A$256,Companies!$B$19,Scores!$B$5:$B$256,"pace",Scores!$D$5:$D$256,"A")=0),"",SUMIFS(Scores!$E$5:$E$256,Scores!$A$5:$A$256,Companies!$B$19,Scores!$B$5:$B$256,"pace",Scores!$D$5:$D$256,"A"))</f>
        <v/>
      </c>
      <c r="D93" s="17">
        <f>IF(OR(Companies!$B$19="",COUNTIFS(Scores!$A$5:$A$256,Companies!$B$19,Scores!$B$5:$B$256,"pace",Scores!$D$5:$D$256,"B")=0),"",SUMIFS(Scores!$E$5:$E$256,Scores!$A$5:$A$256,Companies!$B$19,Scores!$B$5:$B$256,"pace",Scores!$D$5:$D$256,"B"))</f>
        <v/>
      </c>
      <c r="E93" s="23">
        <f>IF(OR(C93="",D93=""),"",ABS(C93-D93))</f>
        <v/>
      </c>
      <c r="F93" s="17">
        <f>IF(E93="","",IF(E93&gt;0.15,"REVIEW",""))</f>
        <v/>
      </c>
    </row>
    <row r="94">
      <c r="A94" s="22">
        <f>IF(Companies!$B$19="","",Companies!$B$19)</f>
        <v/>
      </c>
      <c r="B94" s="17" t="inlineStr">
        <is>
          <t>collaboration</t>
        </is>
      </c>
      <c r="C94" s="17">
        <f>IF(OR(Companies!$B$19="",COUNTIFS(Scores!$A$5:$A$256,Companies!$B$19,Scores!$B$5:$B$256,"collaboration",Scores!$D$5:$D$256,"A")=0),"",SUMIFS(Scores!$E$5:$E$256,Scores!$A$5:$A$256,Companies!$B$19,Scores!$B$5:$B$256,"collaboration",Scores!$D$5:$D$256,"A"))</f>
        <v/>
      </c>
      <c r="D94" s="17">
        <f>IF(OR(Companies!$B$19="",COUNTIFS(Scores!$A$5:$A$256,Companies!$B$19,Scores!$B$5:$B$256,"collaboration",Scores!$D$5:$D$256,"B")=0),"",SUMIFS(Scores!$E$5:$E$256,Scores!$A$5:$A$256,Companies!$B$19,Scores!$B$5:$B$256,"collaboration",Scores!$D$5:$D$256,"B"))</f>
        <v/>
      </c>
      <c r="E94" s="23">
        <f>IF(OR(C94="",D94=""),"",ABS(C94-D94))</f>
        <v/>
      </c>
      <c r="F94" s="17">
        <f>IF(E94="","",IF(E94&gt;0.15,"REVIEW",""))</f>
        <v/>
      </c>
    </row>
    <row r="95">
      <c r="A95" s="22">
        <f>IF(Companies!$B$19="","",Companies!$B$19)</f>
        <v/>
      </c>
      <c r="B95" s="17" t="inlineStr">
        <is>
          <t>feedback</t>
        </is>
      </c>
      <c r="C95" s="17">
        <f>IF(OR(Companies!$B$19="",COUNTIFS(Scores!$A$5:$A$256,Companies!$B$19,Scores!$B$5:$B$256,"feedback",Scores!$D$5:$D$256,"A")=0),"",SUMIFS(Scores!$E$5:$E$256,Scores!$A$5:$A$256,Companies!$B$19,Scores!$B$5:$B$256,"feedback",Scores!$D$5:$D$256,"A"))</f>
        <v/>
      </c>
      <c r="D95" s="17">
        <f>IF(OR(Companies!$B$19="",COUNTIFS(Scores!$A$5:$A$256,Companies!$B$19,Scores!$B$5:$B$256,"feedback",Scores!$D$5:$D$256,"B")=0),"",SUMIFS(Scores!$E$5:$E$256,Scores!$A$5:$A$256,Companies!$B$19,Scores!$B$5:$B$256,"feedback",Scores!$D$5:$D$256,"B"))</f>
        <v/>
      </c>
      <c r="E95" s="23">
        <f>IF(OR(C95="",D95=""),"",ABS(C95-D95))</f>
        <v/>
      </c>
      <c r="F95" s="17">
        <f>IF(E95="","",IF(E95&gt;0.15,"REVIEW",""))</f>
        <v/>
      </c>
    </row>
    <row r="96">
      <c r="A96" s="22">
        <f>IF(Companies!$B$19="","",Companies!$B$19)</f>
        <v/>
      </c>
      <c r="B96" s="17" t="inlineStr">
        <is>
          <t>innovation</t>
        </is>
      </c>
      <c r="C96" s="17">
        <f>IF(OR(Companies!$B$19="",COUNTIFS(Scores!$A$5:$A$256,Companies!$B$19,Scores!$B$5:$B$256,"innovation",Scores!$D$5:$D$256,"A")=0),"",SUMIFS(Scores!$E$5:$E$256,Scores!$A$5:$A$256,Companies!$B$19,Scores!$B$5:$B$256,"innovation",Scores!$D$5:$D$256,"A"))</f>
        <v/>
      </c>
      <c r="D96" s="17">
        <f>IF(OR(Companies!$B$19="",COUNTIFS(Scores!$A$5:$A$256,Companies!$B$19,Scores!$B$5:$B$256,"innovation",Scores!$D$5:$D$256,"B")=0),"",SUMIFS(Scores!$E$5:$E$256,Scores!$A$5:$A$256,Companies!$B$19,Scores!$B$5:$B$256,"innovation",Scores!$D$5:$D$256,"B"))</f>
        <v/>
      </c>
      <c r="E96" s="23">
        <f>IF(OR(C96="",D96=""),"",ABS(C96-D96))</f>
        <v/>
      </c>
      <c r="F96" s="17">
        <f>IF(E96="","",IF(E96&gt;0.15,"REVIEW",""))</f>
        <v/>
      </c>
    </row>
    <row r="97">
      <c r="A97" s="22">
        <f>IF(Companies!$B$19="","",Companies!$B$19)</f>
        <v/>
      </c>
      <c r="B97" s="17" t="inlineStr">
        <is>
          <t>decision</t>
        </is>
      </c>
      <c r="C97" s="17">
        <f>IF(OR(Companies!$B$19="",COUNTIFS(Scores!$A$5:$A$256,Companies!$B$19,Scores!$B$5:$B$256,"decision",Scores!$D$5:$D$256,"A")=0),"",SUMIFS(Scores!$E$5:$E$256,Scores!$A$5:$A$256,Companies!$B$19,Scores!$B$5:$B$256,"decision",Scores!$D$5:$D$256,"A"))</f>
        <v/>
      </c>
      <c r="D97" s="17">
        <f>IF(OR(Companies!$B$19="",COUNTIFS(Scores!$A$5:$A$256,Companies!$B$19,Scores!$B$5:$B$256,"decision",Scores!$D$5:$D$256,"B")=0),"",SUMIFS(Scores!$E$5:$E$256,Scores!$A$5:$A$256,Companies!$B$19,Scores!$B$5:$B$256,"decision",Scores!$D$5:$D$256,"B"))</f>
        <v/>
      </c>
      <c r="E97" s="23">
        <f>IF(OR(C97="",D97=""),"",ABS(C97-D97))</f>
        <v/>
      </c>
      <c r="F97" s="17">
        <f>IF(E97="","",IF(E97&gt;0.15,"REVIEW",""))</f>
        <v/>
      </c>
    </row>
    <row r="98">
      <c r="A98" s="22">
        <f>IF(Companies!$B$20="","",Companies!$B$20)</f>
        <v/>
      </c>
      <c r="B98" s="17" t="inlineStr">
        <is>
          <t>autonomy</t>
        </is>
      </c>
      <c r="C98" s="17">
        <f>IF(OR(Companies!$B$20="",COUNTIFS(Scores!$A$5:$A$256,Companies!$B$20,Scores!$B$5:$B$256,"autonomy",Scores!$D$5:$D$256,"A")=0),"",SUMIFS(Scores!$E$5:$E$256,Scores!$A$5:$A$256,Companies!$B$20,Scores!$B$5:$B$256,"autonomy",Scores!$D$5:$D$256,"A"))</f>
        <v/>
      </c>
      <c r="D98" s="17">
        <f>IF(OR(Companies!$B$20="",COUNTIFS(Scores!$A$5:$A$256,Companies!$B$20,Scores!$B$5:$B$256,"autonomy",Scores!$D$5:$D$256,"B")=0),"",SUMIFS(Scores!$E$5:$E$256,Scores!$A$5:$A$256,Companies!$B$20,Scores!$B$5:$B$256,"autonomy",Scores!$D$5:$D$256,"B"))</f>
        <v/>
      </c>
      <c r="E98" s="23">
        <f>IF(OR(C98="",D98=""),"",ABS(C98-D98))</f>
        <v/>
      </c>
      <c r="F98" s="17">
        <f>IF(E98="","",IF(E98&gt;0.15,"REVIEW",""))</f>
        <v/>
      </c>
    </row>
    <row r="99">
      <c r="A99" s="22">
        <f>IF(Companies!$B$20="","",Companies!$B$20)</f>
        <v/>
      </c>
      <c r="B99" s="17" t="inlineStr">
        <is>
          <t>pace</t>
        </is>
      </c>
      <c r="C99" s="17">
        <f>IF(OR(Companies!$B$20="",COUNTIFS(Scores!$A$5:$A$256,Companies!$B$20,Scores!$B$5:$B$256,"pace",Scores!$D$5:$D$256,"A")=0),"",SUMIFS(Scores!$E$5:$E$256,Scores!$A$5:$A$256,Companies!$B$20,Scores!$B$5:$B$256,"pace",Scores!$D$5:$D$256,"A"))</f>
        <v/>
      </c>
      <c r="D99" s="17">
        <f>IF(OR(Companies!$B$20="",COUNTIFS(Scores!$A$5:$A$256,Companies!$B$20,Scores!$B$5:$B$256,"pace",Scores!$D$5:$D$256,"B")=0),"",SUMIFS(Scores!$E$5:$E$256,Scores!$A$5:$A$256,Companies!$B$20,Scores!$B$5:$B$256,"pace",Scores!$D$5:$D$256,"B"))</f>
        <v/>
      </c>
      <c r="E99" s="23">
        <f>IF(OR(C99="",D99=""),"",ABS(C99-D99))</f>
        <v/>
      </c>
      <c r="F99" s="17">
        <f>IF(E99="","",IF(E99&gt;0.15,"REVIEW",""))</f>
        <v/>
      </c>
    </row>
    <row r="100">
      <c r="A100" s="22">
        <f>IF(Companies!$B$20="","",Companies!$B$20)</f>
        <v/>
      </c>
      <c r="B100" s="17" t="inlineStr">
        <is>
          <t>collaboration</t>
        </is>
      </c>
      <c r="C100" s="17">
        <f>IF(OR(Companies!$B$20="",COUNTIFS(Scores!$A$5:$A$256,Companies!$B$20,Scores!$B$5:$B$256,"collaboration",Scores!$D$5:$D$256,"A")=0),"",SUMIFS(Scores!$E$5:$E$256,Scores!$A$5:$A$256,Companies!$B$20,Scores!$B$5:$B$256,"collaboration",Scores!$D$5:$D$256,"A"))</f>
        <v/>
      </c>
      <c r="D100" s="17">
        <f>IF(OR(Companies!$B$20="",COUNTIFS(Scores!$A$5:$A$256,Companies!$B$20,Scores!$B$5:$B$256,"collaboration",Scores!$D$5:$D$256,"B")=0),"",SUMIFS(Scores!$E$5:$E$256,Scores!$A$5:$A$256,Companies!$B$20,Scores!$B$5:$B$256,"collaboration",Scores!$D$5:$D$256,"B"))</f>
        <v/>
      </c>
      <c r="E100" s="23">
        <f>IF(OR(C100="",D100=""),"",ABS(C100-D100))</f>
        <v/>
      </c>
      <c r="F100" s="17">
        <f>IF(E100="","",IF(E100&gt;0.15,"REVIEW",""))</f>
        <v/>
      </c>
    </row>
    <row r="101">
      <c r="A101" s="22">
        <f>IF(Companies!$B$20="","",Companies!$B$20)</f>
        <v/>
      </c>
      <c r="B101" s="17" t="inlineStr">
        <is>
          <t>feedback</t>
        </is>
      </c>
      <c r="C101" s="17">
        <f>IF(OR(Companies!$B$20="",COUNTIFS(Scores!$A$5:$A$256,Companies!$B$20,Scores!$B$5:$B$256,"feedback",Scores!$D$5:$D$256,"A")=0),"",SUMIFS(Scores!$E$5:$E$256,Scores!$A$5:$A$256,Companies!$B$20,Scores!$B$5:$B$256,"feedback",Scores!$D$5:$D$256,"A"))</f>
        <v/>
      </c>
      <c r="D101" s="17">
        <f>IF(OR(Companies!$B$20="",COUNTIFS(Scores!$A$5:$A$256,Companies!$B$20,Scores!$B$5:$B$256,"feedback",Scores!$D$5:$D$256,"B")=0),"",SUMIFS(Scores!$E$5:$E$256,Scores!$A$5:$A$256,Companies!$B$20,Scores!$B$5:$B$256,"feedback",Scores!$D$5:$D$256,"B"))</f>
        <v/>
      </c>
      <c r="E101" s="23">
        <f>IF(OR(C101="",D101=""),"",ABS(C101-D101))</f>
        <v/>
      </c>
      <c r="F101" s="17">
        <f>IF(E101="","",IF(E101&gt;0.15,"REVIEW",""))</f>
        <v/>
      </c>
    </row>
    <row r="102">
      <c r="A102" s="22">
        <f>IF(Companies!$B$20="","",Companies!$B$20)</f>
        <v/>
      </c>
      <c r="B102" s="17" t="inlineStr">
        <is>
          <t>innovation</t>
        </is>
      </c>
      <c r="C102" s="17">
        <f>IF(OR(Companies!$B$20="",COUNTIFS(Scores!$A$5:$A$256,Companies!$B$20,Scores!$B$5:$B$256,"innovation",Scores!$D$5:$D$256,"A")=0),"",SUMIFS(Scores!$E$5:$E$256,Scores!$A$5:$A$256,Companies!$B$20,Scores!$B$5:$B$256,"innovation",Scores!$D$5:$D$256,"A"))</f>
        <v/>
      </c>
      <c r="D102" s="17">
        <f>IF(OR(Companies!$B$20="",COUNTIFS(Scores!$A$5:$A$256,Companies!$B$20,Scores!$B$5:$B$256,"innovation",Scores!$D$5:$D$256,"B")=0),"",SUMIFS(Scores!$E$5:$E$256,Scores!$A$5:$A$256,Companies!$B$20,Scores!$B$5:$B$256,"innovation",Scores!$D$5:$D$256,"B"))</f>
        <v/>
      </c>
      <c r="E102" s="23">
        <f>IF(OR(C102="",D102=""),"",ABS(C102-D102))</f>
        <v/>
      </c>
      <c r="F102" s="17">
        <f>IF(E102="","",IF(E102&gt;0.15,"REVIEW",""))</f>
        <v/>
      </c>
    </row>
    <row r="103">
      <c r="A103" s="22">
        <f>IF(Companies!$B$20="","",Companies!$B$20)</f>
        <v/>
      </c>
      <c r="B103" s="17" t="inlineStr">
        <is>
          <t>decision</t>
        </is>
      </c>
      <c r="C103" s="17">
        <f>IF(OR(Companies!$B$20="",COUNTIFS(Scores!$A$5:$A$256,Companies!$B$20,Scores!$B$5:$B$256,"decision",Scores!$D$5:$D$256,"A")=0),"",SUMIFS(Scores!$E$5:$E$256,Scores!$A$5:$A$256,Companies!$B$20,Scores!$B$5:$B$256,"decision",Scores!$D$5:$D$256,"A"))</f>
        <v/>
      </c>
      <c r="D103" s="17">
        <f>IF(OR(Companies!$B$20="",COUNTIFS(Scores!$A$5:$A$256,Companies!$B$20,Scores!$B$5:$B$256,"decision",Scores!$D$5:$D$256,"B")=0),"",SUMIFS(Scores!$E$5:$E$256,Scores!$A$5:$A$256,Companies!$B$20,Scores!$B$5:$B$256,"decision",Scores!$D$5:$D$256,"B"))</f>
        <v/>
      </c>
      <c r="E103" s="23">
        <f>IF(OR(C103="",D103=""),"",ABS(C103-D103))</f>
        <v/>
      </c>
      <c r="F103" s="17">
        <f>IF(E103="","",IF(E103&gt;0.15,"REVIEW",""))</f>
        <v/>
      </c>
    </row>
    <row r="104">
      <c r="A104" s="22">
        <f>IF(Companies!$B$21="","",Companies!$B$21)</f>
        <v/>
      </c>
      <c r="B104" s="17" t="inlineStr">
        <is>
          <t>autonomy</t>
        </is>
      </c>
      <c r="C104" s="17">
        <f>IF(OR(Companies!$B$21="",COUNTIFS(Scores!$A$5:$A$256,Companies!$B$21,Scores!$B$5:$B$256,"autonomy",Scores!$D$5:$D$256,"A")=0),"",SUMIFS(Scores!$E$5:$E$256,Scores!$A$5:$A$256,Companies!$B$21,Scores!$B$5:$B$256,"autonomy",Scores!$D$5:$D$256,"A"))</f>
        <v/>
      </c>
      <c r="D104" s="17">
        <f>IF(OR(Companies!$B$21="",COUNTIFS(Scores!$A$5:$A$256,Companies!$B$21,Scores!$B$5:$B$256,"autonomy",Scores!$D$5:$D$256,"B")=0),"",SUMIFS(Scores!$E$5:$E$256,Scores!$A$5:$A$256,Companies!$B$21,Scores!$B$5:$B$256,"autonomy",Scores!$D$5:$D$256,"B"))</f>
        <v/>
      </c>
      <c r="E104" s="23">
        <f>IF(OR(C104="",D104=""),"",ABS(C104-D104))</f>
        <v/>
      </c>
      <c r="F104" s="17">
        <f>IF(E104="","",IF(E104&gt;0.15,"REVIEW",""))</f>
        <v/>
      </c>
    </row>
    <row r="105">
      <c r="A105" s="22">
        <f>IF(Companies!$B$21="","",Companies!$B$21)</f>
        <v/>
      </c>
      <c r="B105" s="17" t="inlineStr">
        <is>
          <t>pace</t>
        </is>
      </c>
      <c r="C105" s="17">
        <f>IF(OR(Companies!$B$21="",COUNTIFS(Scores!$A$5:$A$256,Companies!$B$21,Scores!$B$5:$B$256,"pace",Scores!$D$5:$D$256,"A")=0),"",SUMIFS(Scores!$E$5:$E$256,Scores!$A$5:$A$256,Companies!$B$21,Scores!$B$5:$B$256,"pace",Scores!$D$5:$D$256,"A"))</f>
        <v/>
      </c>
      <c r="D105" s="17">
        <f>IF(OR(Companies!$B$21="",COUNTIFS(Scores!$A$5:$A$256,Companies!$B$21,Scores!$B$5:$B$256,"pace",Scores!$D$5:$D$256,"B")=0),"",SUMIFS(Scores!$E$5:$E$256,Scores!$A$5:$A$256,Companies!$B$21,Scores!$B$5:$B$256,"pace",Scores!$D$5:$D$256,"B"))</f>
        <v/>
      </c>
      <c r="E105" s="23">
        <f>IF(OR(C105="",D105=""),"",ABS(C105-D105))</f>
        <v/>
      </c>
      <c r="F105" s="17">
        <f>IF(E105="","",IF(E105&gt;0.15,"REVIEW",""))</f>
        <v/>
      </c>
    </row>
    <row r="106">
      <c r="A106" s="22">
        <f>IF(Companies!$B$21="","",Companies!$B$21)</f>
        <v/>
      </c>
      <c r="B106" s="17" t="inlineStr">
        <is>
          <t>collaboration</t>
        </is>
      </c>
      <c r="C106" s="17">
        <f>IF(OR(Companies!$B$21="",COUNTIFS(Scores!$A$5:$A$256,Companies!$B$21,Scores!$B$5:$B$256,"collaboration",Scores!$D$5:$D$256,"A")=0),"",SUMIFS(Scores!$E$5:$E$256,Scores!$A$5:$A$256,Companies!$B$21,Scores!$B$5:$B$256,"collaboration",Scores!$D$5:$D$256,"A"))</f>
        <v/>
      </c>
      <c r="D106" s="17">
        <f>IF(OR(Companies!$B$21="",COUNTIFS(Scores!$A$5:$A$256,Companies!$B$21,Scores!$B$5:$B$256,"collaboration",Scores!$D$5:$D$256,"B")=0),"",SUMIFS(Scores!$E$5:$E$256,Scores!$A$5:$A$256,Companies!$B$21,Scores!$B$5:$B$256,"collaboration",Scores!$D$5:$D$256,"B"))</f>
        <v/>
      </c>
      <c r="E106" s="23">
        <f>IF(OR(C106="",D106=""),"",ABS(C106-D106))</f>
        <v/>
      </c>
      <c r="F106" s="17">
        <f>IF(E106="","",IF(E106&gt;0.15,"REVIEW",""))</f>
        <v/>
      </c>
    </row>
    <row r="107">
      <c r="A107" s="22">
        <f>IF(Companies!$B$21="","",Companies!$B$21)</f>
        <v/>
      </c>
      <c r="B107" s="17" t="inlineStr">
        <is>
          <t>feedback</t>
        </is>
      </c>
      <c r="C107" s="17">
        <f>IF(OR(Companies!$B$21="",COUNTIFS(Scores!$A$5:$A$256,Companies!$B$21,Scores!$B$5:$B$256,"feedback",Scores!$D$5:$D$256,"A")=0),"",SUMIFS(Scores!$E$5:$E$256,Scores!$A$5:$A$256,Companies!$B$21,Scores!$B$5:$B$256,"feedback",Scores!$D$5:$D$256,"A"))</f>
        <v/>
      </c>
      <c r="D107" s="17">
        <f>IF(OR(Companies!$B$21="",COUNTIFS(Scores!$A$5:$A$256,Companies!$B$21,Scores!$B$5:$B$256,"feedback",Scores!$D$5:$D$256,"B")=0),"",SUMIFS(Scores!$E$5:$E$256,Scores!$A$5:$A$256,Companies!$B$21,Scores!$B$5:$B$256,"feedback",Scores!$D$5:$D$256,"B"))</f>
        <v/>
      </c>
      <c r="E107" s="23">
        <f>IF(OR(C107="",D107=""),"",ABS(C107-D107))</f>
        <v/>
      </c>
      <c r="F107" s="17">
        <f>IF(E107="","",IF(E107&gt;0.15,"REVIEW",""))</f>
        <v/>
      </c>
    </row>
    <row r="108">
      <c r="A108" s="22">
        <f>IF(Companies!$B$21="","",Companies!$B$21)</f>
        <v/>
      </c>
      <c r="B108" s="17" t="inlineStr">
        <is>
          <t>innovation</t>
        </is>
      </c>
      <c r="C108" s="17">
        <f>IF(OR(Companies!$B$21="",COUNTIFS(Scores!$A$5:$A$256,Companies!$B$21,Scores!$B$5:$B$256,"innovation",Scores!$D$5:$D$256,"A")=0),"",SUMIFS(Scores!$E$5:$E$256,Scores!$A$5:$A$256,Companies!$B$21,Scores!$B$5:$B$256,"innovation",Scores!$D$5:$D$256,"A"))</f>
        <v/>
      </c>
      <c r="D108" s="17">
        <f>IF(OR(Companies!$B$21="",COUNTIFS(Scores!$A$5:$A$256,Companies!$B$21,Scores!$B$5:$B$256,"innovation",Scores!$D$5:$D$256,"B")=0),"",SUMIFS(Scores!$E$5:$E$256,Scores!$A$5:$A$256,Companies!$B$21,Scores!$B$5:$B$256,"innovation",Scores!$D$5:$D$256,"B"))</f>
        <v/>
      </c>
      <c r="E108" s="23">
        <f>IF(OR(C108="",D108=""),"",ABS(C108-D108))</f>
        <v/>
      </c>
      <c r="F108" s="17">
        <f>IF(E108="","",IF(E108&gt;0.15,"REVIEW",""))</f>
        <v/>
      </c>
    </row>
    <row r="109">
      <c r="A109" s="22">
        <f>IF(Companies!$B$21="","",Companies!$B$21)</f>
        <v/>
      </c>
      <c r="B109" s="17" t="inlineStr">
        <is>
          <t>decision</t>
        </is>
      </c>
      <c r="C109" s="17">
        <f>IF(OR(Companies!$B$21="",COUNTIFS(Scores!$A$5:$A$256,Companies!$B$21,Scores!$B$5:$B$256,"decision",Scores!$D$5:$D$256,"A")=0),"",SUMIFS(Scores!$E$5:$E$256,Scores!$A$5:$A$256,Companies!$B$21,Scores!$B$5:$B$256,"decision",Scores!$D$5:$D$256,"A"))</f>
        <v/>
      </c>
      <c r="D109" s="17">
        <f>IF(OR(Companies!$B$21="",COUNTIFS(Scores!$A$5:$A$256,Companies!$B$21,Scores!$B$5:$B$256,"decision",Scores!$D$5:$D$256,"B")=0),"",SUMIFS(Scores!$E$5:$E$256,Scores!$A$5:$A$256,Companies!$B$21,Scores!$B$5:$B$256,"decision",Scores!$D$5:$D$256,"B"))</f>
        <v/>
      </c>
      <c r="E109" s="23">
        <f>IF(OR(C109="",D109=""),"",ABS(C109-D109))</f>
        <v/>
      </c>
      <c r="F109" s="17">
        <f>IF(E109="","",IF(E109&gt;0.15,"REVIEW",""))</f>
        <v/>
      </c>
    </row>
    <row r="110">
      <c r="A110" s="22">
        <f>IF(Companies!$B$22="","",Companies!$B$22)</f>
        <v/>
      </c>
      <c r="B110" s="17" t="inlineStr">
        <is>
          <t>autonomy</t>
        </is>
      </c>
      <c r="C110" s="17">
        <f>IF(OR(Companies!$B$22="",COUNTIFS(Scores!$A$5:$A$256,Companies!$B$22,Scores!$B$5:$B$256,"autonomy",Scores!$D$5:$D$256,"A")=0),"",SUMIFS(Scores!$E$5:$E$256,Scores!$A$5:$A$256,Companies!$B$22,Scores!$B$5:$B$256,"autonomy",Scores!$D$5:$D$256,"A"))</f>
        <v/>
      </c>
      <c r="D110" s="17">
        <f>IF(OR(Companies!$B$22="",COUNTIFS(Scores!$A$5:$A$256,Companies!$B$22,Scores!$B$5:$B$256,"autonomy",Scores!$D$5:$D$256,"B")=0),"",SUMIFS(Scores!$E$5:$E$256,Scores!$A$5:$A$256,Companies!$B$22,Scores!$B$5:$B$256,"autonomy",Scores!$D$5:$D$256,"B"))</f>
        <v/>
      </c>
      <c r="E110" s="23">
        <f>IF(OR(C110="",D110=""),"",ABS(C110-D110))</f>
        <v/>
      </c>
      <c r="F110" s="17">
        <f>IF(E110="","",IF(E110&gt;0.15,"REVIEW",""))</f>
        <v/>
      </c>
    </row>
    <row r="111">
      <c r="A111" s="22">
        <f>IF(Companies!$B$22="","",Companies!$B$22)</f>
        <v/>
      </c>
      <c r="B111" s="17" t="inlineStr">
        <is>
          <t>pace</t>
        </is>
      </c>
      <c r="C111" s="17">
        <f>IF(OR(Companies!$B$22="",COUNTIFS(Scores!$A$5:$A$256,Companies!$B$22,Scores!$B$5:$B$256,"pace",Scores!$D$5:$D$256,"A")=0),"",SUMIFS(Scores!$E$5:$E$256,Scores!$A$5:$A$256,Companies!$B$22,Scores!$B$5:$B$256,"pace",Scores!$D$5:$D$256,"A"))</f>
        <v/>
      </c>
      <c r="D111" s="17">
        <f>IF(OR(Companies!$B$22="",COUNTIFS(Scores!$A$5:$A$256,Companies!$B$22,Scores!$B$5:$B$256,"pace",Scores!$D$5:$D$256,"B")=0),"",SUMIFS(Scores!$E$5:$E$256,Scores!$A$5:$A$256,Companies!$B$22,Scores!$B$5:$B$256,"pace",Scores!$D$5:$D$256,"B"))</f>
        <v/>
      </c>
      <c r="E111" s="23">
        <f>IF(OR(C111="",D111=""),"",ABS(C111-D111))</f>
        <v/>
      </c>
      <c r="F111" s="17">
        <f>IF(E111="","",IF(E111&gt;0.15,"REVIEW",""))</f>
        <v/>
      </c>
    </row>
    <row r="112">
      <c r="A112" s="22">
        <f>IF(Companies!$B$22="","",Companies!$B$22)</f>
        <v/>
      </c>
      <c r="B112" s="17" t="inlineStr">
        <is>
          <t>collaboration</t>
        </is>
      </c>
      <c r="C112" s="17">
        <f>IF(OR(Companies!$B$22="",COUNTIFS(Scores!$A$5:$A$256,Companies!$B$22,Scores!$B$5:$B$256,"collaboration",Scores!$D$5:$D$256,"A")=0),"",SUMIFS(Scores!$E$5:$E$256,Scores!$A$5:$A$256,Companies!$B$22,Scores!$B$5:$B$256,"collaboration",Scores!$D$5:$D$256,"A"))</f>
        <v/>
      </c>
      <c r="D112" s="17">
        <f>IF(OR(Companies!$B$22="",COUNTIFS(Scores!$A$5:$A$256,Companies!$B$22,Scores!$B$5:$B$256,"collaboration",Scores!$D$5:$D$256,"B")=0),"",SUMIFS(Scores!$E$5:$E$256,Scores!$A$5:$A$256,Companies!$B$22,Scores!$B$5:$B$256,"collaboration",Scores!$D$5:$D$256,"B"))</f>
        <v/>
      </c>
      <c r="E112" s="23">
        <f>IF(OR(C112="",D112=""),"",ABS(C112-D112))</f>
        <v/>
      </c>
      <c r="F112" s="17">
        <f>IF(E112="","",IF(E112&gt;0.15,"REVIEW",""))</f>
        <v/>
      </c>
    </row>
    <row r="113">
      <c r="A113" s="22">
        <f>IF(Companies!$B$22="","",Companies!$B$22)</f>
        <v/>
      </c>
      <c r="B113" s="17" t="inlineStr">
        <is>
          <t>feedback</t>
        </is>
      </c>
      <c r="C113" s="17">
        <f>IF(OR(Companies!$B$22="",COUNTIFS(Scores!$A$5:$A$256,Companies!$B$22,Scores!$B$5:$B$256,"feedback",Scores!$D$5:$D$256,"A")=0),"",SUMIFS(Scores!$E$5:$E$256,Scores!$A$5:$A$256,Companies!$B$22,Scores!$B$5:$B$256,"feedback",Scores!$D$5:$D$256,"A"))</f>
        <v/>
      </c>
      <c r="D113" s="17">
        <f>IF(OR(Companies!$B$22="",COUNTIFS(Scores!$A$5:$A$256,Companies!$B$22,Scores!$B$5:$B$256,"feedback",Scores!$D$5:$D$256,"B")=0),"",SUMIFS(Scores!$E$5:$E$256,Scores!$A$5:$A$256,Companies!$B$22,Scores!$B$5:$B$256,"feedback",Scores!$D$5:$D$256,"B"))</f>
        <v/>
      </c>
      <c r="E113" s="23">
        <f>IF(OR(C113="",D113=""),"",ABS(C113-D113))</f>
        <v/>
      </c>
      <c r="F113" s="17">
        <f>IF(E113="","",IF(E113&gt;0.15,"REVIEW",""))</f>
        <v/>
      </c>
    </row>
    <row r="114">
      <c r="A114" s="22">
        <f>IF(Companies!$B$22="","",Companies!$B$22)</f>
        <v/>
      </c>
      <c r="B114" s="17" t="inlineStr">
        <is>
          <t>innovation</t>
        </is>
      </c>
      <c r="C114" s="17">
        <f>IF(OR(Companies!$B$22="",COUNTIFS(Scores!$A$5:$A$256,Companies!$B$22,Scores!$B$5:$B$256,"innovation",Scores!$D$5:$D$256,"A")=0),"",SUMIFS(Scores!$E$5:$E$256,Scores!$A$5:$A$256,Companies!$B$22,Scores!$B$5:$B$256,"innovation",Scores!$D$5:$D$256,"A"))</f>
        <v/>
      </c>
      <c r="D114" s="17">
        <f>IF(OR(Companies!$B$22="",COUNTIFS(Scores!$A$5:$A$256,Companies!$B$22,Scores!$B$5:$B$256,"innovation",Scores!$D$5:$D$256,"B")=0),"",SUMIFS(Scores!$E$5:$E$256,Scores!$A$5:$A$256,Companies!$B$22,Scores!$B$5:$B$256,"innovation",Scores!$D$5:$D$256,"B"))</f>
        <v/>
      </c>
      <c r="E114" s="23">
        <f>IF(OR(C114="",D114=""),"",ABS(C114-D114))</f>
        <v/>
      </c>
      <c r="F114" s="17">
        <f>IF(E114="","",IF(E114&gt;0.15,"REVIEW",""))</f>
        <v/>
      </c>
    </row>
    <row r="115">
      <c r="A115" s="22">
        <f>IF(Companies!$B$22="","",Companies!$B$22)</f>
        <v/>
      </c>
      <c r="B115" s="17" t="inlineStr">
        <is>
          <t>decision</t>
        </is>
      </c>
      <c r="C115" s="17">
        <f>IF(OR(Companies!$B$22="",COUNTIFS(Scores!$A$5:$A$256,Companies!$B$22,Scores!$B$5:$B$256,"decision",Scores!$D$5:$D$256,"A")=0),"",SUMIFS(Scores!$E$5:$E$256,Scores!$A$5:$A$256,Companies!$B$22,Scores!$B$5:$B$256,"decision",Scores!$D$5:$D$256,"A"))</f>
        <v/>
      </c>
      <c r="D115" s="17">
        <f>IF(OR(Companies!$B$22="",COUNTIFS(Scores!$A$5:$A$256,Companies!$B$22,Scores!$B$5:$B$256,"decision",Scores!$D$5:$D$256,"B")=0),"",SUMIFS(Scores!$E$5:$E$256,Scores!$A$5:$A$256,Companies!$B$22,Scores!$B$5:$B$256,"decision",Scores!$D$5:$D$256,"B"))</f>
        <v/>
      </c>
      <c r="E115" s="23">
        <f>IF(OR(C115="",D115=""),"",ABS(C115-D115))</f>
        <v/>
      </c>
      <c r="F115" s="17">
        <f>IF(E115="","",IF(E115&gt;0.15,"REVIEW",""))</f>
        <v/>
      </c>
    </row>
    <row r="116">
      <c r="A116" s="22">
        <f>IF(Companies!$B$23="","",Companies!$B$23)</f>
        <v/>
      </c>
      <c r="B116" s="17" t="inlineStr">
        <is>
          <t>autonomy</t>
        </is>
      </c>
      <c r="C116" s="17">
        <f>IF(OR(Companies!$B$23="",COUNTIFS(Scores!$A$5:$A$256,Companies!$B$23,Scores!$B$5:$B$256,"autonomy",Scores!$D$5:$D$256,"A")=0),"",SUMIFS(Scores!$E$5:$E$256,Scores!$A$5:$A$256,Companies!$B$23,Scores!$B$5:$B$256,"autonomy",Scores!$D$5:$D$256,"A"))</f>
        <v/>
      </c>
      <c r="D116" s="17">
        <f>IF(OR(Companies!$B$23="",COUNTIFS(Scores!$A$5:$A$256,Companies!$B$23,Scores!$B$5:$B$256,"autonomy",Scores!$D$5:$D$256,"B")=0),"",SUMIFS(Scores!$E$5:$E$256,Scores!$A$5:$A$256,Companies!$B$23,Scores!$B$5:$B$256,"autonomy",Scores!$D$5:$D$256,"B"))</f>
        <v/>
      </c>
      <c r="E116" s="23">
        <f>IF(OR(C116="",D116=""),"",ABS(C116-D116))</f>
        <v/>
      </c>
      <c r="F116" s="17">
        <f>IF(E116="","",IF(E116&gt;0.15,"REVIEW",""))</f>
        <v/>
      </c>
    </row>
    <row r="117">
      <c r="A117" s="22">
        <f>IF(Companies!$B$23="","",Companies!$B$23)</f>
        <v/>
      </c>
      <c r="B117" s="17" t="inlineStr">
        <is>
          <t>pace</t>
        </is>
      </c>
      <c r="C117" s="17">
        <f>IF(OR(Companies!$B$23="",COUNTIFS(Scores!$A$5:$A$256,Companies!$B$23,Scores!$B$5:$B$256,"pace",Scores!$D$5:$D$256,"A")=0),"",SUMIFS(Scores!$E$5:$E$256,Scores!$A$5:$A$256,Companies!$B$23,Scores!$B$5:$B$256,"pace",Scores!$D$5:$D$256,"A"))</f>
        <v/>
      </c>
      <c r="D117" s="17">
        <f>IF(OR(Companies!$B$23="",COUNTIFS(Scores!$A$5:$A$256,Companies!$B$23,Scores!$B$5:$B$256,"pace",Scores!$D$5:$D$256,"B")=0),"",SUMIFS(Scores!$E$5:$E$256,Scores!$A$5:$A$256,Companies!$B$23,Scores!$B$5:$B$256,"pace",Scores!$D$5:$D$256,"B"))</f>
        <v/>
      </c>
      <c r="E117" s="23">
        <f>IF(OR(C117="",D117=""),"",ABS(C117-D117))</f>
        <v/>
      </c>
      <c r="F117" s="17">
        <f>IF(E117="","",IF(E117&gt;0.15,"REVIEW",""))</f>
        <v/>
      </c>
    </row>
    <row r="118">
      <c r="A118" s="22">
        <f>IF(Companies!$B$23="","",Companies!$B$23)</f>
        <v/>
      </c>
      <c r="B118" s="17" t="inlineStr">
        <is>
          <t>collaboration</t>
        </is>
      </c>
      <c r="C118" s="17">
        <f>IF(OR(Companies!$B$23="",COUNTIFS(Scores!$A$5:$A$256,Companies!$B$23,Scores!$B$5:$B$256,"collaboration",Scores!$D$5:$D$256,"A")=0),"",SUMIFS(Scores!$E$5:$E$256,Scores!$A$5:$A$256,Companies!$B$23,Scores!$B$5:$B$256,"collaboration",Scores!$D$5:$D$256,"A"))</f>
        <v/>
      </c>
      <c r="D118" s="17">
        <f>IF(OR(Companies!$B$23="",COUNTIFS(Scores!$A$5:$A$256,Companies!$B$23,Scores!$B$5:$B$256,"collaboration",Scores!$D$5:$D$256,"B")=0),"",SUMIFS(Scores!$E$5:$E$256,Scores!$A$5:$A$256,Companies!$B$23,Scores!$B$5:$B$256,"collaboration",Scores!$D$5:$D$256,"B"))</f>
        <v/>
      </c>
      <c r="E118" s="23">
        <f>IF(OR(C118="",D118=""),"",ABS(C118-D118))</f>
        <v/>
      </c>
      <c r="F118" s="17">
        <f>IF(E118="","",IF(E118&gt;0.15,"REVIEW",""))</f>
        <v/>
      </c>
    </row>
    <row r="119">
      <c r="A119" s="22">
        <f>IF(Companies!$B$23="","",Companies!$B$23)</f>
        <v/>
      </c>
      <c r="B119" s="17" t="inlineStr">
        <is>
          <t>feedback</t>
        </is>
      </c>
      <c r="C119" s="17">
        <f>IF(OR(Companies!$B$23="",COUNTIFS(Scores!$A$5:$A$256,Companies!$B$23,Scores!$B$5:$B$256,"feedback",Scores!$D$5:$D$256,"A")=0),"",SUMIFS(Scores!$E$5:$E$256,Scores!$A$5:$A$256,Companies!$B$23,Scores!$B$5:$B$256,"feedback",Scores!$D$5:$D$256,"A"))</f>
        <v/>
      </c>
      <c r="D119" s="17">
        <f>IF(OR(Companies!$B$23="",COUNTIFS(Scores!$A$5:$A$256,Companies!$B$23,Scores!$B$5:$B$256,"feedback",Scores!$D$5:$D$256,"B")=0),"",SUMIFS(Scores!$E$5:$E$256,Scores!$A$5:$A$256,Companies!$B$23,Scores!$B$5:$B$256,"feedback",Scores!$D$5:$D$256,"B"))</f>
        <v/>
      </c>
      <c r="E119" s="23">
        <f>IF(OR(C119="",D119=""),"",ABS(C119-D119))</f>
        <v/>
      </c>
      <c r="F119" s="17">
        <f>IF(E119="","",IF(E119&gt;0.15,"REVIEW",""))</f>
        <v/>
      </c>
    </row>
    <row r="120">
      <c r="A120" s="22">
        <f>IF(Companies!$B$23="","",Companies!$B$23)</f>
        <v/>
      </c>
      <c r="B120" s="17" t="inlineStr">
        <is>
          <t>innovation</t>
        </is>
      </c>
      <c r="C120" s="17">
        <f>IF(OR(Companies!$B$23="",COUNTIFS(Scores!$A$5:$A$256,Companies!$B$23,Scores!$B$5:$B$256,"innovation",Scores!$D$5:$D$256,"A")=0),"",SUMIFS(Scores!$E$5:$E$256,Scores!$A$5:$A$256,Companies!$B$23,Scores!$B$5:$B$256,"innovation",Scores!$D$5:$D$256,"A"))</f>
        <v/>
      </c>
      <c r="D120" s="17">
        <f>IF(OR(Companies!$B$23="",COUNTIFS(Scores!$A$5:$A$256,Companies!$B$23,Scores!$B$5:$B$256,"innovation",Scores!$D$5:$D$256,"B")=0),"",SUMIFS(Scores!$E$5:$E$256,Scores!$A$5:$A$256,Companies!$B$23,Scores!$B$5:$B$256,"innovation",Scores!$D$5:$D$256,"B"))</f>
        <v/>
      </c>
      <c r="E120" s="23">
        <f>IF(OR(C120="",D120=""),"",ABS(C120-D120))</f>
        <v/>
      </c>
      <c r="F120" s="17">
        <f>IF(E120="","",IF(E120&gt;0.15,"REVIEW",""))</f>
        <v/>
      </c>
    </row>
    <row r="121">
      <c r="A121" s="22">
        <f>IF(Companies!$B$23="","",Companies!$B$23)</f>
        <v/>
      </c>
      <c r="B121" s="17" t="inlineStr">
        <is>
          <t>decision</t>
        </is>
      </c>
      <c r="C121" s="17">
        <f>IF(OR(Companies!$B$23="",COUNTIFS(Scores!$A$5:$A$256,Companies!$B$23,Scores!$B$5:$B$256,"decision",Scores!$D$5:$D$256,"A")=0),"",SUMIFS(Scores!$E$5:$E$256,Scores!$A$5:$A$256,Companies!$B$23,Scores!$B$5:$B$256,"decision",Scores!$D$5:$D$256,"A"))</f>
        <v/>
      </c>
      <c r="D121" s="17">
        <f>IF(OR(Companies!$B$23="",COUNTIFS(Scores!$A$5:$A$256,Companies!$B$23,Scores!$B$5:$B$256,"decision",Scores!$D$5:$D$256,"B")=0),"",SUMIFS(Scores!$E$5:$E$256,Scores!$A$5:$A$256,Companies!$B$23,Scores!$B$5:$B$256,"decision",Scores!$D$5:$D$256,"B"))</f>
        <v/>
      </c>
      <c r="E121" s="23">
        <f>IF(OR(C121="",D121=""),"",ABS(C121-D121))</f>
        <v/>
      </c>
      <c r="F121" s="17">
        <f>IF(E121="","",IF(E121&gt;0.15,"REVIEW",""))</f>
        <v/>
      </c>
    </row>
    <row r="122">
      <c r="A122" s="22">
        <f>IF(Companies!$B$24="","",Companies!$B$24)</f>
        <v/>
      </c>
      <c r="B122" s="17" t="inlineStr">
        <is>
          <t>autonomy</t>
        </is>
      </c>
      <c r="C122" s="17">
        <f>IF(OR(Companies!$B$24="",COUNTIFS(Scores!$A$5:$A$256,Companies!$B$24,Scores!$B$5:$B$256,"autonomy",Scores!$D$5:$D$256,"A")=0),"",SUMIFS(Scores!$E$5:$E$256,Scores!$A$5:$A$256,Companies!$B$24,Scores!$B$5:$B$256,"autonomy",Scores!$D$5:$D$256,"A"))</f>
        <v/>
      </c>
      <c r="D122" s="17">
        <f>IF(OR(Companies!$B$24="",COUNTIFS(Scores!$A$5:$A$256,Companies!$B$24,Scores!$B$5:$B$256,"autonomy",Scores!$D$5:$D$256,"B")=0),"",SUMIFS(Scores!$E$5:$E$256,Scores!$A$5:$A$256,Companies!$B$24,Scores!$B$5:$B$256,"autonomy",Scores!$D$5:$D$256,"B"))</f>
        <v/>
      </c>
      <c r="E122" s="23">
        <f>IF(OR(C122="",D122=""),"",ABS(C122-D122))</f>
        <v/>
      </c>
      <c r="F122" s="17">
        <f>IF(E122="","",IF(E122&gt;0.15,"REVIEW",""))</f>
        <v/>
      </c>
    </row>
    <row r="123">
      <c r="A123" s="22">
        <f>IF(Companies!$B$24="","",Companies!$B$24)</f>
        <v/>
      </c>
      <c r="B123" s="17" t="inlineStr">
        <is>
          <t>pace</t>
        </is>
      </c>
      <c r="C123" s="17">
        <f>IF(OR(Companies!$B$24="",COUNTIFS(Scores!$A$5:$A$256,Companies!$B$24,Scores!$B$5:$B$256,"pace",Scores!$D$5:$D$256,"A")=0),"",SUMIFS(Scores!$E$5:$E$256,Scores!$A$5:$A$256,Companies!$B$24,Scores!$B$5:$B$256,"pace",Scores!$D$5:$D$256,"A"))</f>
        <v/>
      </c>
      <c r="D123" s="17">
        <f>IF(OR(Companies!$B$24="",COUNTIFS(Scores!$A$5:$A$256,Companies!$B$24,Scores!$B$5:$B$256,"pace",Scores!$D$5:$D$256,"B")=0),"",SUMIFS(Scores!$E$5:$E$256,Scores!$A$5:$A$256,Companies!$B$24,Scores!$B$5:$B$256,"pace",Scores!$D$5:$D$256,"B"))</f>
        <v/>
      </c>
      <c r="E123" s="23">
        <f>IF(OR(C123="",D123=""),"",ABS(C123-D123))</f>
        <v/>
      </c>
      <c r="F123" s="17">
        <f>IF(E123="","",IF(E123&gt;0.15,"REVIEW",""))</f>
        <v/>
      </c>
    </row>
    <row r="124">
      <c r="A124" s="22">
        <f>IF(Companies!$B$24="","",Companies!$B$24)</f>
        <v/>
      </c>
      <c r="B124" s="17" t="inlineStr">
        <is>
          <t>collaboration</t>
        </is>
      </c>
      <c r="C124" s="17">
        <f>IF(OR(Companies!$B$24="",COUNTIFS(Scores!$A$5:$A$256,Companies!$B$24,Scores!$B$5:$B$256,"collaboration",Scores!$D$5:$D$256,"A")=0),"",SUMIFS(Scores!$E$5:$E$256,Scores!$A$5:$A$256,Companies!$B$24,Scores!$B$5:$B$256,"collaboration",Scores!$D$5:$D$256,"A"))</f>
        <v/>
      </c>
      <c r="D124" s="17">
        <f>IF(OR(Companies!$B$24="",COUNTIFS(Scores!$A$5:$A$256,Companies!$B$24,Scores!$B$5:$B$256,"collaboration",Scores!$D$5:$D$256,"B")=0),"",SUMIFS(Scores!$E$5:$E$256,Scores!$A$5:$A$256,Companies!$B$24,Scores!$B$5:$B$256,"collaboration",Scores!$D$5:$D$256,"B"))</f>
        <v/>
      </c>
      <c r="E124" s="23">
        <f>IF(OR(C124="",D124=""),"",ABS(C124-D124))</f>
        <v/>
      </c>
      <c r="F124" s="17">
        <f>IF(E124="","",IF(E124&gt;0.15,"REVIEW",""))</f>
        <v/>
      </c>
    </row>
    <row r="125">
      <c r="A125" s="22">
        <f>IF(Companies!$B$24="","",Companies!$B$24)</f>
        <v/>
      </c>
      <c r="B125" s="17" t="inlineStr">
        <is>
          <t>feedback</t>
        </is>
      </c>
      <c r="C125" s="17">
        <f>IF(OR(Companies!$B$24="",COUNTIFS(Scores!$A$5:$A$256,Companies!$B$24,Scores!$B$5:$B$256,"feedback",Scores!$D$5:$D$256,"A")=0),"",SUMIFS(Scores!$E$5:$E$256,Scores!$A$5:$A$256,Companies!$B$24,Scores!$B$5:$B$256,"feedback",Scores!$D$5:$D$256,"A"))</f>
        <v/>
      </c>
      <c r="D125" s="17">
        <f>IF(OR(Companies!$B$24="",COUNTIFS(Scores!$A$5:$A$256,Companies!$B$24,Scores!$B$5:$B$256,"feedback",Scores!$D$5:$D$256,"B")=0),"",SUMIFS(Scores!$E$5:$E$256,Scores!$A$5:$A$256,Companies!$B$24,Scores!$B$5:$B$256,"feedback",Scores!$D$5:$D$256,"B"))</f>
        <v/>
      </c>
      <c r="E125" s="23">
        <f>IF(OR(C125="",D125=""),"",ABS(C125-D125))</f>
        <v/>
      </c>
      <c r="F125" s="17">
        <f>IF(E125="","",IF(E125&gt;0.15,"REVIEW",""))</f>
        <v/>
      </c>
    </row>
    <row r="126">
      <c r="A126" s="22">
        <f>IF(Companies!$B$24="","",Companies!$B$24)</f>
        <v/>
      </c>
      <c r="B126" s="17" t="inlineStr">
        <is>
          <t>innovation</t>
        </is>
      </c>
      <c r="C126" s="17">
        <f>IF(OR(Companies!$B$24="",COUNTIFS(Scores!$A$5:$A$256,Companies!$B$24,Scores!$B$5:$B$256,"innovation",Scores!$D$5:$D$256,"A")=0),"",SUMIFS(Scores!$E$5:$E$256,Scores!$A$5:$A$256,Companies!$B$24,Scores!$B$5:$B$256,"innovation",Scores!$D$5:$D$256,"A"))</f>
        <v/>
      </c>
      <c r="D126" s="17">
        <f>IF(OR(Companies!$B$24="",COUNTIFS(Scores!$A$5:$A$256,Companies!$B$24,Scores!$B$5:$B$256,"innovation",Scores!$D$5:$D$256,"B")=0),"",SUMIFS(Scores!$E$5:$E$256,Scores!$A$5:$A$256,Companies!$B$24,Scores!$B$5:$B$256,"innovation",Scores!$D$5:$D$256,"B"))</f>
        <v/>
      </c>
      <c r="E126" s="23">
        <f>IF(OR(C126="",D126=""),"",ABS(C126-D126))</f>
        <v/>
      </c>
      <c r="F126" s="17">
        <f>IF(E126="","",IF(E126&gt;0.15,"REVIEW",""))</f>
        <v/>
      </c>
    </row>
    <row r="127">
      <c r="A127" s="22">
        <f>IF(Companies!$B$24="","",Companies!$B$24)</f>
        <v/>
      </c>
      <c r="B127" s="17" t="inlineStr">
        <is>
          <t>decision</t>
        </is>
      </c>
      <c r="C127" s="17">
        <f>IF(OR(Companies!$B$24="",COUNTIFS(Scores!$A$5:$A$256,Companies!$B$24,Scores!$B$5:$B$256,"decision",Scores!$D$5:$D$256,"A")=0),"",SUMIFS(Scores!$E$5:$E$256,Scores!$A$5:$A$256,Companies!$B$24,Scores!$B$5:$B$256,"decision",Scores!$D$5:$D$256,"A"))</f>
        <v/>
      </c>
      <c r="D127" s="17">
        <f>IF(OR(Companies!$B$24="",COUNTIFS(Scores!$A$5:$A$256,Companies!$B$24,Scores!$B$5:$B$256,"decision",Scores!$D$5:$D$256,"B")=0),"",SUMIFS(Scores!$E$5:$E$256,Scores!$A$5:$A$256,Companies!$B$24,Scores!$B$5:$B$256,"decision",Scores!$D$5:$D$256,"B"))</f>
        <v/>
      </c>
      <c r="E127" s="23">
        <f>IF(OR(C127="",D127=""),"",ABS(C127-D127))</f>
        <v/>
      </c>
      <c r="F127" s="17">
        <f>IF(E127="","",IF(E127&gt;0.15,"REVIEW",""))</f>
        <v/>
      </c>
    </row>
  </sheetData>
  <mergeCells count="2">
    <mergeCell ref="A2:F2"/>
    <mergeCell ref="A1:F1"/>
  </mergeCells>
  <conditionalFormatting sqref="F8:F127">
    <cfRule type="cellIs" priority="1" operator="equal" dxfId="0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2026-07-23T18:50:24Z</dcterms:created>
  <dcterms:modified xmlns:dcterms="http://purl.org/dc/terms/" xmlns:xsi="http://www.w3.org/2001/XMLSchema-instance" xsi:type="dcterms:W3CDTF">2026-07-23T18:50:25Z</dcterms:modified>
</cp:coreProperties>
</file>